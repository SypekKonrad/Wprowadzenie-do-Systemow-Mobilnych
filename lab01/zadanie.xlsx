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Arkusz1" sheetId="1" r:id="rId1"/>
  </sheets>
  <externalReferences>
    <externalReference r:id="rId2"/>
  </externalReferences>
  <calcPr calcId="152511"/>
</workbook>
</file>

<file path=xl/calcChain.xml><?xml version="1.0" encoding="utf-8"?>
<calcChain xmlns="http://schemas.openxmlformats.org/spreadsheetml/2006/main">
  <c r="H33" i="1" l="1"/>
  <c r="D33" i="1"/>
  <c r="H32" i="1"/>
  <c r="D32" i="1"/>
  <c r="H31" i="1"/>
  <c r="D31" i="1"/>
  <c r="H30" i="1"/>
  <c r="D30" i="1"/>
  <c r="H29" i="1"/>
  <c r="D29" i="1"/>
  <c r="H28" i="1"/>
  <c r="D28" i="1"/>
  <c r="H27" i="1"/>
  <c r="D27" i="1"/>
  <c r="H26" i="1"/>
  <c r="D26" i="1"/>
  <c r="H25" i="1"/>
  <c r="D25" i="1"/>
  <c r="H24" i="1"/>
  <c r="D24" i="1"/>
  <c r="H23" i="1"/>
  <c r="D23" i="1"/>
  <c r="H22" i="1"/>
  <c r="D22" i="1"/>
  <c r="H21" i="1"/>
  <c r="D21" i="1"/>
  <c r="H20" i="1"/>
  <c r="D20" i="1"/>
  <c r="H19" i="1"/>
  <c r="D19" i="1"/>
  <c r="H18" i="1"/>
  <c r="D18" i="1"/>
  <c r="H17" i="1"/>
  <c r="D17" i="1"/>
  <c r="H16" i="1"/>
  <c r="D16" i="1"/>
  <c r="H15" i="1"/>
  <c r="D15" i="1"/>
  <c r="H14" i="1"/>
  <c r="D14" i="1"/>
  <c r="H13" i="1"/>
  <c r="D13" i="1"/>
  <c r="H12" i="1"/>
  <c r="D12" i="1"/>
  <c r="H11" i="1"/>
  <c r="D11" i="1"/>
  <c r="H10" i="1"/>
  <c r="D10" i="1"/>
  <c r="H9" i="1"/>
  <c r="D9" i="1"/>
  <c r="H8" i="1"/>
  <c r="D8" i="1"/>
  <c r="H7" i="1"/>
  <c r="D7" i="1"/>
  <c r="H6" i="1"/>
  <c r="D6" i="1"/>
  <c r="H5" i="1"/>
  <c r="D5" i="1"/>
  <c r="H4" i="1"/>
  <c r="D4" i="1"/>
  <c r="H3" i="1"/>
  <c r="D3" i="1"/>
  <c r="H2" i="1"/>
  <c r="D2" i="1"/>
  <c r="I33" i="1" s="1"/>
  <c r="J33" i="1" s="1"/>
  <c r="J12" i="1" l="1"/>
  <c r="J16" i="1"/>
  <c r="J22" i="1"/>
  <c r="J24" i="1"/>
  <c r="J30" i="1"/>
  <c r="K5" i="1"/>
  <c r="L5" i="1" s="1"/>
  <c r="M5" i="1" s="1"/>
  <c r="K7" i="1"/>
  <c r="L7" i="1" s="1"/>
  <c r="M7" i="1" s="1"/>
  <c r="K9" i="1"/>
  <c r="L9" i="1" s="1"/>
  <c r="M9" i="1" s="1"/>
  <c r="K21" i="1"/>
  <c r="L21" i="1" s="1"/>
  <c r="M21" i="1" s="1"/>
  <c r="K23" i="1"/>
  <c r="L23" i="1" s="1"/>
  <c r="M23" i="1" s="1"/>
  <c r="K25" i="1"/>
  <c r="L25" i="1" s="1"/>
  <c r="M25" i="1" s="1"/>
  <c r="K33" i="1"/>
  <c r="L33" i="1" s="1"/>
  <c r="M33" i="1" s="1"/>
  <c r="I24" i="1"/>
  <c r="I28" i="1"/>
  <c r="I32" i="1"/>
  <c r="I3" i="1"/>
  <c r="I7" i="1"/>
  <c r="I11" i="1"/>
  <c r="I15" i="1"/>
  <c r="K15" i="1" s="1"/>
  <c r="L15" i="1" s="1"/>
  <c r="M15" i="1" s="1"/>
  <c r="I19" i="1"/>
  <c r="I23" i="1"/>
  <c r="I27" i="1"/>
  <c r="K27" i="1" s="1"/>
  <c r="L27" i="1" s="1"/>
  <c r="M27" i="1" s="1"/>
  <c r="I31" i="1"/>
  <c r="J31" i="1" s="1"/>
  <c r="I2" i="1"/>
  <c r="I18" i="1"/>
  <c r="I22" i="1"/>
  <c r="J23" i="1"/>
  <c r="I26" i="1"/>
  <c r="J27" i="1"/>
  <c r="I30" i="1"/>
  <c r="I4" i="1"/>
  <c r="I8" i="1"/>
  <c r="I12" i="1"/>
  <c r="I16" i="1"/>
  <c r="I20" i="1"/>
  <c r="I6" i="1"/>
  <c r="J6" i="1" s="1"/>
  <c r="J7" i="1"/>
  <c r="I10" i="1"/>
  <c r="I14" i="1"/>
  <c r="J14" i="1" s="1"/>
  <c r="J15" i="1"/>
  <c r="I5" i="1"/>
  <c r="J5" i="1" s="1"/>
  <c r="I9" i="1"/>
  <c r="J9" i="1" s="1"/>
  <c r="I13" i="1"/>
  <c r="J13" i="1" s="1"/>
  <c r="I17" i="1"/>
  <c r="J17" i="1" s="1"/>
  <c r="I21" i="1"/>
  <c r="J21" i="1" s="1"/>
  <c r="I25" i="1"/>
  <c r="J25" i="1" s="1"/>
  <c r="I29" i="1"/>
  <c r="J29" i="1" s="1"/>
  <c r="K32" i="1" l="1"/>
  <c r="L32" i="1" s="1"/>
  <c r="M32" i="1" s="1"/>
  <c r="K31" i="1"/>
  <c r="L31" i="1" s="1"/>
  <c r="M31" i="1" s="1"/>
  <c r="J19" i="1"/>
  <c r="K19" i="1" s="1"/>
  <c r="L19" i="1" s="1"/>
  <c r="M19" i="1" s="1"/>
  <c r="K2" i="1"/>
  <c r="L2" i="1" s="1"/>
  <c r="M2" i="1" s="1"/>
  <c r="J32" i="1"/>
  <c r="J8" i="1"/>
  <c r="K8" i="1" s="1"/>
  <c r="L8" i="1" s="1"/>
  <c r="M8" i="1" s="1"/>
  <c r="K14" i="1"/>
  <c r="L14" i="1" s="1"/>
  <c r="M14" i="1" s="1"/>
  <c r="K4" i="1"/>
  <c r="L4" i="1" s="1"/>
  <c r="M4" i="1" s="1"/>
  <c r="K13" i="1"/>
  <c r="L13" i="1" s="1"/>
  <c r="M13" i="1" s="1"/>
  <c r="K6" i="1"/>
  <c r="L6" i="1" s="1"/>
  <c r="M6" i="1" s="1"/>
  <c r="K17" i="1"/>
  <c r="L17" i="1" s="1"/>
  <c r="M17" i="1" s="1"/>
  <c r="K16" i="1"/>
  <c r="L16" i="1" s="1"/>
  <c r="M16" i="1" s="1"/>
  <c r="J11" i="1"/>
  <c r="K11" i="1" s="1"/>
  <c r="L11" i="1" s="1"/>
  <c r="M11" i="1" s="1"/>
  <c r="K29" i="1"/>
  <c r="L29" i="1" s="1"/>
  <c r="M29" i="1" s="1"/>
  <c r="J28" i="1"/>
  <c r="K28" i="1" s="1"/>
  <c r="L28" i="1" s="1"/>
  <c r="M28" i="1" s="1"/>
  <c r="J20" i="1"/>
  <c r="K20" i="1" s="1"/>
  <c r="L20" i="1" s="1"/>
  <c r="M20" i="1" s="1"/>
  <c r="J4" i="1"/>
  <c r="K12" i="1"/>
  <c r="L12" i="1" s="1"/>
  <c r="M12" i="1" s="1"/>
  <c r="K30" i="1"/>
  <c r="L30" i="1" s="1"/>
  <c r="M30" i="1" s="1"/>
  <c r="K22" i="1"/>
  <c r="L22" i="1" s="1"/>
  <c r="M22" i="1" s="1"/>
  <c r="J3" i="1"/>
  <c r="K3" i="1" s="1"/>
  <c r="L3" i="1" s="1"/>
  <c r="M3" i="1" s="1"/>
  <c r="K24" i="1"/>
  <c r="L24" i="1" s="1"/>
  <c r="M24" i="1" s="1"/>
  <c r="J26" i="1"/>
  <c r="K26" i="1" s="1"/>
  <c r="L26" i="1" s="1"/>
  <c r="M26" i="1" s="1"/>
  <c r="J18" i="1"/>
  <c r="K18" i="1" s="1"/>
  <c r="L18" i="1" s="1"/>
  <c r="M18" i="1" s="1"/>
  <c r="J10" i="1"/>
  <c r="K10" i="1" s="1"/>
  <c r="L10" i="1" s="1"/>
  <c r="M10" i="1" s="1"/>
  <c r="J2" i="1"/>
</calcChain>
</file>

<file path=xl/sharedStrings.xml><?xml version="1.0" encoding="utf-8"?>
<sst xmlns="http://schemas.openxmlformats.org/spreadsheetml/2006/main" count="12" uniqueCount="12">
  <si>
    <t>Nr studenta</t>
  </si>
  <si>
    <t>czas przybycia</t>
  </si>
  <si>
    <t>czas obsługi</t>
  </si>
  <si>
    <t>czas obslugi w minutach</t>
  </si>
  <si>
    <t>liczba stanowisk obsługi r</t>
  </si>
  <si>
    <t>czas (w min.)</t>
  </si>
  <si>
    <t>l</t>
  </si>
  <si>
    <t>m</t>
  </si>
  <si>
    <t>r</t>
  </si>
  <si>
    <t>P(n=0)</t>
  </si>
  <si>
    <t>Q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</si>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</sst>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'[1]r=4'!$G$1</c:f>
              <c:strCache>
                <c:ptCount val="1"/>
                <c:pt idx="0">
                  <c:v>czas (w min.)</c:v>
                </c:pt>
              </c:strCache>
            </c:strRef>
          </c:tx>
          <c:marker>
            <c:symbol val="none"/>
          </c:marker>
          <c:val>
            <c:numRef>
              <c:f>'[1]r=4'!$G$2:$G$33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'[1]r=4'!$J$1</c:f>
              <c:strCache>
                <c:ptCount val="1"/>
                <c:pt idx="0">
                  <c:v>r</c:v>
                </c:pt>
              </c:strCache>
            </c:strRef>
          </c:tx>
          <c:marker>
            <c:symbol val="none"/>
          </c:marker>
          <c:val>
            <c:numRef>
              <c:f>'[1]r=4'!$J$2:$J$33</c:f>
              <c:numCache>
                <c:formatCode>General</c:formatCode>
                <c:ptCount val="32"/>
                <c:pt idx="0">
                  <c:v>0.16666666666666666</c:v>
                </c:pt>
                <c:pt idx="1">
                  <c:v>8.3333333333333329E-2</c:v>
                </c:pt>
                <c:pt idx="2">
                  <c:v>5.5555555555555552E-2</c:v>
                </c:pt>
                <c:pt idx="3">
                  <c:v>4.1666666666666664E-2</c:v>
                </c:pt>
                <c:pt idx="4">
                  <c:v>8.3333333333333329E-2</c:v>
                </c:pt>
                <c:pt idx="5">
                  <c:v>0.1111111111111111</c:v>
                </c:pt>
                <c:pt idx="6">
                  <c:v>9.5238095238095233E-2</c:v>
                </c:pt>
                <c:pt idx="7">
                  <c:v>8.3333333333333329E-2</c:v>
                </c:pt>
                <c:pt idx="8">
                  <c:v>7.407407407407407E-2</c:v>
                </c:pt>
                <c:pt idx="9">
                  <c:v>0.11041666666666666</c:v>
                </c:pt>
                <c:pt idx="10">
                  <c:v>0.10037878787878787</c:v>
                </c:pt>
                <c:pt idx="11">
                  <c:v>9.2013888888888895E-2</c:v>
                </c:pt>
                <c:pt idx="12">
                  <c:v>8.4935897435897439E-2</c:v>
                </c:pt>
                <c:pt idx="13">
                  <c:v>7.8869047619047616E-2</c:v>
                </c:pt>
                <c:pt idx="14">
                  <c:v>0.10972222222222221</c:v>
                </c:pt>
                <c:pt idx="15">
                  <c:v>0.10286458333333333</c:v>
                </c:pt>
                <c:pt idx="16">
                  <c:v>9.6813725490196068E-2</c:v>
                </c:pt>
                <c:pt idx="17">
                  <c:v>9.1435185185185175E-2</c:v>
                </c:pt>
                <c:pt idx="18">
                  <c:v>8.6622807017543851E-2</c:v>
                </c:pt>
                <c:pt idx="19">
                  <c:v>8.2291666666666652E-2</c:v>
                </c:pt>
                <c:pt idx="20">
                  <c:v>7.8373015873015858E-2</c:v>
                </c:pt>
                <c:pt idx="21">
                  <c:v>7.481060606060605E-2</c:v>
                </c:pt>
                <c:pt idx="22">
                  <c:v>7.1557971014492752E-2</c:v>
                </c:pt>
                <c:pt idx="23">
                  <c:v>6.8576388888888881E-2</c:v>
                </c:pt>
                <c:pt idx="24">
                  <c:v>9.8333333333333342E-2</c:v>
                </c:pt>
                <c:pt idx="25">
                  <c:v>9.4551282051282062E-2</c:v>
                </c:pt>
                <c:pt idx="26">
                  <c:v>9.1049382716049385E-2</c:v>
                </c:pt>
                <c:pt idx="27">
                  <c:v>8.7797619047619055E-2</c:v>
                </c:pt>
                <c:pt idx="28">
                  <c:v>8.4770114942528743E-2</c:v>
                </c:pt>
                <c:pt idx="29">
                  <c:v>0.10763888888888888</c:v>
                </c:pt>
                <c:pt idx="30">
                  <c:v>0.10416666666666666</c:v>
                </c:pt>
                <c:pt idx="31">
                  <c:v>0.10091145833333331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0402400"/>
        <c:axId val="1060408928"/>
      </c:lineChart>
      <c:catAx>
        <c:axId val="1060402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60408928"/>
        <c:crosses val="autoZero"/>
        <c:auto val="1"/>
        <c:lblAlgn val="ctr"/>
        <c:lblOffset val="100"/>
        <c:noMultiLvlLbl val="0"/>
      </c:catAx>
      <c:valAx>
        <c:axId val="1060408928"/>
        <c:scaling>
          <c:orientation val="minMax"/>
          <c:max val="0.5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604024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'[1]r=4'!$G$1</c:f>
              <c:strCache>
                <c:ptCount val="1"/>
                <c:pt idx="0">
                  <c:v>czas (w min.)</c:v>
                </c:pt>
              </c:strCache>
            </c:strRef>
          </c:tx>
          <c:marker>
            <c:symbol val="none"/>
          </c:marker>
          <c:val>
            <c:numRef>
              <c:f>'[1]r=4'!$G$2:$G$33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'[1]r=4'!$L$1</c:f>
              <c:strCache>
                <c:ptCount val="1"/>
                <c:pt idx="0">
                  <c:v>Q</c:v>
                </c:pt>
              </c:strCache>
            </c:strRef>
          </c:tx>
          <c:marker>
            <c:symbol val="none"/>
          </c:marker>
          <c:val>
            <c:numRef>
              <c:f>'[1]r=4'!$L$2:$L$33</c:f>
              <c:numCache>
                <c:formatCode>General</c:formatCode>
                <c:ptCount val="32"/>
                <c:pt idx="0">
                  <c:v>1.1782032400589101E-3</c:v>
                </c:pt>
                <c:pt idx="1">
                  <c:v>3.8245305388763537E-5</c:v>
                </c:pt>
                <c:pt idx="2">
                  <c:v>5.1775578753891244E-6</c:v>
                </c:pt>
                <c:pt idx="3">
                  <c:v>1.2502015950071946E-6</c:v>
                </c:pt>
                <c:pt idx="4">
                  <c:v>3.8245305388763537E-5</c:v>
                </c:pt>
                <c:pt idx="5">
                  <c:v>1.5807777426493833E-4</c:v>
                </c:pt>
                <c:pt idx="6">
                  <c:v>7.3880527827310008E-5</c:v>
                </c:pt>
                <c:pt idx="7">
                  <c:v>3.8245305388763537E-5</c:v>
                </c:pt>
                <c:pt idx="8">
                  <c:v>2.1398677315155592E-5</c:v>
                </c:pt>
                <c:pt idx="9">
                  <c:v>1.5325941931230912E-4</c:v>
                </c:pt>
                <c:pt idx="10">
                  <c:v>9.5752128146271359E-5</c:v>
                </c:pt>
                <c:pt idx="11">
                  <c:v>6.2339923395819918E-5</c:v>
                </c:pt>
                <c:pt idx="12">
                  <c:v>4.2011074344055741E-5</c:v>
                </c:pt>
                <c:pt idx="13">
                  <c:v>2.9153323033366349E-5</c:v>
                </c:pt>
                <c:pt idx="14">
                  <c:v>1.4855920246419123E-4</c:v>
                </c:pt>
                <c:pt idx="15">
                  <c:v>1.0803503474696975E-4</c:v>
                </c:pt>
                <c:pt idx="16">
                  <c:v>8.010834749484491E-5</c:v>
                </c:pt>
                <c:pt idx="17">
                  <c:v>6.0430266804971592E-5</c:v>
                </c:pt>
                <c:pt idx="18">
                  <c:v>4.6288606965711241E-5</c:v>
                </c:pt>
                <c:pt idx="19">
                  <c:v>3.5945546937121111E-5</c:v>
                </c:pt>
                <c:pt idx="20">
                  <c:v>2.8260468039181234E-5</c:v>
                </c:pt>
                <c:pt idx="21">
                  <c:v>2.2468413670728971E-5</c:v>
                </c:pt>
                <c:pt idx="22">
                  <c:v>1.804630355342207E-5</c:v>
                </c:pt>
                <c:pt idx="23">
                  <c:v>1.4630104057100138E-5</c:v>
                </c:pt>
                <c:pt idx="24">
                  <c:v>8.6504928522293501E-5</c:v>
                </c:pt>
                <c:pt idx="25">
                  <c:v>7.128984417416582E-5</c:v>
                </c:pt>
                <c:pt idx="26">
                  <c:v>5.9183309284984165E-5</c:v>
                </c:pt>
                <c:pt idx="27">
                  <c:v>4.9467523769638059E-5</c:v>
                </c:pt>
                <c:pt idx="28">
                  <c:v>4.1608339468588221E-5</c:v>
                </c:pt>
                <c:pt idx="29">
                  <c:v>1.3514559603100069E-4</c:v>
                </c:pt>
                <c:pt idx="30">
                  <c:v>1.1495315410671333E-4</c:v>
                </c:pt>
                <c:pt idx="31">
                  <c:v>9.8285215815575451E-5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'[1]r=4'!$M$1</c:f>
              <c:strCache>
                <c:ptCount val="1"/>
                <c:pt idx="0">
                  <c:v>W</c:v>
                </c:pt>
              </c:strCache>
            </c:strRef>
          </c:tx>
          <c:marker>
            <c:symbol val="none"/>
          </c:marker>
          <c:val>
            <c:numRef>
              <c:f>'[1]r=4'!$M$2:$M$33</c:f>
              <c:numCache>
                <c:formatCode>General</c:formatCode>
                <c:ptCount val="32"/>
                <c:pt idx="0">
                  <c:v>1.1782032400589101E-3</c:v>
                </c:pt>
                <c:pt idx="1">
                  <c:v>7.6490610777527073E-5</c:v>
                </c:pt>
                <c:pt idx="2">
                  <c:v>1.5532673626167376E-5</c:v>
                </c:pt>
                <c:pt idx="3">
                  <c:v>5.0008063800287783E-6</c:v>
                </c:pt>
                <c:pt idx="4">
                  <c:v>9.5613263471908835E-5</c:v>
                </c:pt>
                <c:pt idx="5">
                  <c:v>3.1615554852987667E-4</c:v>
                </c:pt>
                <c:pt idx="6">
                  <c:v>1.7238789826372336E-4</c:v>
                </c:pt>
                <c:pt idx="7">
                  <c:v>1.0198748103670276E-4</c:v>
                </c:pt>
                <c:pt idx="8">
                  <c:v>6.4196031945466786E-5</c:v>
                </c:pt>
                <c:pt idx="9">
                  <c:v>3.0651883862461824E-4</c:v>
                </c:pt>
                <c:pt idx="10">
                  <c:v>2.10654681921797E-4</c:v>
                </c:pt>
                <c:pt idx="11">
                  <c:v>1.4961581614996781E-4</c:v>
                </c:pt>
                <c:pt idx="12">
                  <c:v>1.0922879329454491E-4</c:v>
                </c:pt>
                <c:pt idx="13">
                  <c:v>8.1629304493425781E-5</c:v>
                </c:pt>
                <c:pt idx="14">
                  <c:v>3.1834114813755261E-4</c:v>
                </c:pt>
                <c:pt idx="15">
                  <c:v>2.4693722227878801E-4</c:v>
                </c:pt>
                <c:pt idx="16">
                  <c:v>1.9454884391605193E-4</c:v>
                </c:pt>
                <c:pt idx="17">
                  <c:v>1.5539211464135551E-4</c:v>
                </c:pt>
                <c:pt idx="18">
                  <c:v>1.2564050462121623E-4</c:v>
                </c:pt>
                <c:pt idx="19">
                  <c:v>1.0270156267748889E-4</c:v>
                </c:pt>
                <c:pt idx="20">
                  <c:v>8.4781404117543709E-5</c:v>
                </c:pt>
                <c:pt idx="21">
                  <c:v>7.0615014393719629E-5</c:v>
                </c:pt>
                <c:pt idx="22">
                  <c:v>5.929499738981537E-5</c:v>
                </c:pt>
                <c:pt idx="23">
                  <c:v>5.0160356767200466E-5</c:v>
                </c:pt>
                <c:pt idx="24">
                  <c:v>2.1626232130573375E-4</c:v>
                </c:pt>
                <c:pt idx="25">
                  <c:v>1.8535359485283114E-4</c:v>
                </c:pt>
                <c:pt idx="26">
                  <c:v>1.5979493506945724E-4</c:v>
                </c:pt>
                <c:pt idx="27">
                  <c:v>1.3850906655498655E-4</c:v>
                </c:pt>
                <c:pt idx="28">
                  <c:v>1.2066418445890583E-4</c:v>
                </c:pt>
                <c:pt idx="29">
                  <c:v>3.1187445237923234E-4</c:v>
                </c:pt>
                <c:pt idx="30">
                  <c:v>2.741190597929318E-4</c:v>
                </c:pt>
                <c:pt idx="31">
                  <c:v>2.4193283893064727E-4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0411104"/>
        <c:axId val="1060402944"/>
      </c:lineChart>
      <c:catAx>
        <c:axId val="106041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60402944"/>
        <c:crosses val="autoZero"/>
        <c:auto val="1"/>
        <c:lblAlgn val="ctr"/>
        <c:lblOffset val="100"/>
        <c:noMultiLvlLbl val="0"/>
      </c:catAx>
      <c:valAx>
        <c:axId val="1060402944"/>
        <c:scaling>
          <c:orientation val="minMax"/>
          <c:max val="0.1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604111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'[1]r=4'!$G$1</c:f>
              <c:strCache>
                <c:ptCount val="1"/>
                <c:pt idx="0">
                  <c:v>czas (w min.)</c:v>
                </c:pt>
              </c:strCache>
            </c:strRef>
          </c:tx>
          <c:marker>
            <c:symbol val="none"/>
          </c:marker>
          <c:val>
            <c:numRef>
              <c:f>'[1]r=4'!$G$2:$G$33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'[1]r=4'!$H$1</c:f>
              <c:strCache>
                <c:ptCount val="1"/>
                <c:pt idx="0">
                  <c:v>l</c:v>
                </c:pt>
              </c:strCache>
            </c:strRef>
          </c:tx>
          <c:marker>
            <c:symbol val="none"/>
          </c:marker>
          <c:val>
            <c:numRef>
              <c:f>'[1]r=4'!$H$2:$H$33</c:f>
              <c:numCache>
                <c:formatCode>General</c:formatCode>
                <c:ptCount val="32"/>
                <c:pt idx="0">
                  <c:v>1</c:v>
                </c:pt>
                <c:pt idx="1">
                  <c:v>0.5</c:v>
                </c:pt>
                <c:pt idx="2">
                  <c:v>0.33333333333333331</c:v>
                </c:pt>
                <c:pt idx="3">
                  <c:v>0.25</c:v>
                </c:pt>
                <c:pt idx="4">
                  <c:v>0.4</c:v>
                </c:pt>
                <c:pt idx="5">
                  <c:v>0.5</c:v>
                </c:pt>
                <c:pt idx="6">
                  <c:v>0.42857142857142855</c:v>
                </c:pt>
                <c:pt idx="7">
                  <c:v>0.375</c:v>
                </c:pt>
                <c:pt idx="8">
                  <c:v>0.33333333333333331</c:v>
                </c:pt>
                <c:pt idx="9">
                  <c:v>0.5</c:v>
                </c:pt>
                <c:pt idx="10">
                  <c:v>0.45454545454545453</c:v>
                </c:pt>
                <c:pt idx="11">
                  <c:v>0.41666666666666669</c:v>
                </c:pt>
                <c:pt idx="12">
                  <c:v>0.38461538461538464</c:v>
                </c:pt>
                <c:pt idx="13">
                  <c:v>0.35714285714285715</c:v>
                </c:pt>
                <c:pt idx="14">
                  <c:v>0.46666666666666667</c:v>
                </c:pt>
                <c:pt idx="15">
                  <c:v>0.4375</c:v>
                </c:pt>
                <c:pt idx="16">
                  <c:v>0.41176470588235292</c:v>
                </c:pt>
                <c:pt idx="17">
                  <c:v>0.3888888888888889</c:v>
                </c:pt>
                <c:pt idx="18">
                  <c:v>0.36842105263157893</c:v>
                </c:pt>
                <c:pt idx="19">
                  <c:v>0.35</c:v>
                </c:pt>
                <c:pt idx="20">
                  <c:v>0.33333333333333331</c:v>
                </c:pt>
                <c:pt idx="21">
                  <c:v>0.31818181818181818</c:v>
                </c:pt>
                <c:pt idx="22">
                  <c:v>0.30434782608695654</c:v>
                </c:pt>
                <c:pt idx="23">
                  <c:v>0.29166666666666669</c:v>
                </c:pt>
                <c:pt idx="24">
                  <c:v>0.4</c:v>
                </c:pt>
                <c:pt idx="25">
                  <c:v>0.38461538461538464</c:v>
                </c:pt>
                <c:pt idx="26">
                  <c:v>0.37037037037037035</c:v>
                </c:pt>
                <c:pt idx="27">
                  <c:v>0.35714285714285715</c:v>
                </c:pt>
                <c:pt idx="28">
                  <c:v>0.34482758620689657</c:v>
                </c:pt>
                <c:pt idx="29">
                  <c:v>0.43333333333333335</c:v>
                </c:pt>
                <c:pt idx="30">
                  <c:v>0.41935483870967744</c:v>
                </c:pt>
                <c:pt idx="31">
                  <c:v>0.40625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'[1]r=4'!$I$1</c:f>
              <c:strCache>
                <c:ptCount val="1"/>
                <c:pt idx="0">
                  <c:v>m</c:v>
                </c:pt>
              </c:strCache>
            </c:strRef>
          </c:tx>
          <c:marker>
            <c:symbol val="none"/>
          </c:marker>
          <c:val>
            <c:numRef>
              <c:f>'[1]r=4'!$I$2:$I$33</c:f>
              <c:numCache>
                <c:formatCode>General</c:formatCode>
                <c:ptCount val="32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1.2000000000000002</c:v>
                </c:pt>
                <c:pt idx="5">
                  <c:v>1.125</c:v>
                </c:pt>
                <c:pt idx="6">
                  <c:v>1.125</c:v>
                </c:pt>
                <c:pt idx="7">
                  <c:v>1.125</c:v>
                </c:pt>
                <c:pt idx="8">
                  <c:v>1.125</c:v>
                </c:pt>
                <c:pt idx="9">
                  <c:v>1.1320754716981132</c:v>
                </c:pt>
                <c:pt idx="10">
                  <c:v>1.1320754716981132</c:v>
                </c:pt>
                <c:pt idx="11">
                  <c:v>1.1320754716981132</c:v>
                </c:pt>
                <c:pt idx="12">
                  <c:v>1.1320754716981132</c:v>
                </c:pt>
                <c:pt idx="13">
                  <c:v>1.1320754716981132</c:v>
                </c:pt>
                <c:pt idx="14">
                  <c:v>1.0632911392405064</c:v>
                </c:pt>
                <c:pt idx="15">
                  <c:v>1.0632911392405064</c:v>
                </c:pt>
                <c:pt idx="16">
                  <c:v>1.0632911392405064</c:v>
                </c:pt>
                <c:pt idx="17">
                  <c:v>1.0632911392405064</c:v>
                </c:pt>
                <c:pt idx="18">
                  <c:v>1.0632911392405064</c:v>
                </c:pt>
                <c:pt idx="19">
                  <c:v>1.0632911392405064</c:v>
                </c:pt>
                <c:pt idx="20">
                  <c:v>1.0632911392405064</c:v>
                </c:pt>
                <c:pt idx="21">
                  <c:v>1.0632911392405064</c:v>
                </c:pt>
                <c:pt idx="22">
                  <c:v>1.0632911392405064</c:v>
                </c:pt>
                <c:pt idx="23">
                  <c:v>1.0632911392405064</c:v>
                </c:pt>
                <c:pt idx="24">
                  <c:v>1.0169491525423728</c:v>
                </c:pt>
                <c:pt idx="25">
                  <c:v>1.0169491525423728</c:v>
                </c:pt>
                <c:pt idx="26">
                  <c:v>1.0169491525423728</c:v>
                </c:pt>
                <c:pt idx="27">
                  <c:v>1.0169491525423728</c:v>
                </c:pt>
                <c:pt idx="28">
                  <c:v>1.0169491525423728</c:v>
                </c:pt>
                <c:pt idx="29">
                  <c:v>1.0064516129032259</c:v>
                </c:pt>
                <c:pt idx="30">
                  <c:v>1.0064516129032259</c:v>
                </c:pt>
                <c:pt idx="31">
                  <c:v>1.0064516129032259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0411648"/>
        <c:axId val="1060404576"/>
      </c:lineChart>
      <c:catAx>
        <c:axId val="1060411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60404576"/>
        <c:crosses val="autoZero"/>
        <c:auto val="1"/>
        <c:lblAlgn val="ctr"/>
        <c:lblOffset val="100"/>
        <c:noMultiLvlLbl val="0"/>
      </c:catAx>
      <c:valAx>
        <c:axId val="1060404576"/>
        <c:scaling>
          <c:orientation val="minMax"/>
          <c:max val="2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604116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152400</xdr:colOff>
      <xdr:row>51</xdr:row>
      <xdr:rowOff>0</xdr:rowOff>
    </xdr:from>
    <xdr:to>
      <xdr:col>36</xdr:col>
      <xdr:colOff>238125</xdr:colOff>
      <xdr:row>92</xdr:row>
      <xdr:rowOff>152400</xdr:rowOff>
    </xdr:to>
    <xdr:graphicFrame macro="">
      <xdr:nvGraphicFramePr>
        <xdr:cNvPr id="2" name="Wykres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495300</xdr:colOff>
      <xdr:row>92</xdr:row>
      <xdr:rowOff>190500</xdr:rowOff>
    </xdr:from>
    <xdr:to>
      <xdr:col>29</xdr:col>
      <xdr:colOff>209550</xdr:colOff>
      <xdr:row>148</xdr:row>
      <xdr:rowOff>19050</xdr:rowOff>
    </xdr:to>
    <xdr:graphicFrame macro="">
      <xdr:nvGraphicFramePr>
        <xdr:cNvPr id="3" name="Wykres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200025</xdr:colOff>
      <xdr:row>0</xdr:row>
      <xdr:rowOff>219075</xdr:rowOff>
    </xdr:from>
    <xdr:to>
      <xdr:col>36</xdr:col>
      <xdr:colOff>257175</xdr:colOff>
      <xdr:row>49</xdr:row>
      <xdr:rowOff>180975</xdr:rowOff>
    </xdr:to>
    <xdr:graphicFrame macro="">
      <xdr:nvGraphicFramePr>
        <xdr:cNvPr id="4" name="Wykres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onrad\Desktop\zadanie5_WdSM_lab02_analiza_system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=2"/>
      <sheetName val="r=3"/>
      <sheetName val="r=4"/>
    </sheetNames>
    <sheetDataSet>
      <sheetData sheetId="0" refreshError="1"/>
      <sheetData sheetId="1" refreshError="1"/>
      <sheetData sheetId="2">
        <row r="1">
          <cell r="G1" t="str">
            <v>czas (w min.)</v>
          </cell>
          <cell r="H1" t="str">
            <v>l</v>
          </cell>
          <cell r="I1" t="str">
            <v>m</v>
          </cell>
          <cell r="J1" t="str">
            <v>r</v>
          </cell>
          <cell r="L1" t="str">
            <v>Q</v>
          </cell>
          <cell r="M1" t="str">
            <v>W</v>
          </cell>
        </row>
        <row r="2">
          <cell r="G2">
            <v>1</v>
          </cell>
          <cell r="H2">
            <v>1</v>
          </cell>
          <cell r="I2">
            <v>1.5</v>
          </cell>
          <cell r="J2">
            <v>0.16666666666666666</v>
          </cell>
          <cell r="L2">
            <v>1.1782032400589101E-3</v>
          </cell>
          <cell r="M2">
            <v>1.1782032400589101E-3</v>
          </cell>
        </row>
        <row r="3">
          <cell r="G3">
            <v>2</v>
          </cell>
          <cell r="H3">
            <v>0.5</v>
          </cell>
          <cell r="I3">
            <v>1.5</v>
          </cell>
          <cell r="J3">
            <v>8.3333333333333329E-2</v>
          </cell>
          <cell r="L3">
            <v>3.8245305388763537E-5</v>
          </cell>
          <cell r="M3">
            <v>7.6490610777527073E-5</v>
          </cell>
        </row>
        <row r="4">
          <cell r="G4">
            <v>3</v>
          </cell>
          <cell r="H4">
            <v>0.33333333333333331</v>
          </cell>
          <cell r="I4">
            <v>1.5</v>
          </cell>
          <cell r="J4">
            <v>5.5555555555555552E-2</v>
          </cell>
          <cell r="L4">
            <v>5.1775578753891244E-6</v>
          </cell>
          <cell r="M4">
            <v>1.5532673626167376E-5</v>
          </cell>
        </row>
        <row r="5">
          <cell r="G5">
            <v>4</v>
          </cell>
          <cell r="H5">
            <v>0.25</v>
          </cell>
          <cell r="I5">
            <v>1.5</v>
          </cell>
          <cell r="J5">
            <v>4.1666666666666664E-2</v>
          </cell>
          <cell r="L5">
            <v>1.2502015950071946E-6</v>
          </cell>
          <cell r="M5">
            <v>5.0008063800287783E-6</v>
          </cell>
        </row>
        <row r="6">
          <cell r="G6">
            <v>5</v>
          </cell>
          <cell r="H6">
            <v>0.4</v>
          </cell>
          <cell r="I6">
            <v>1.2000000000000002</v>
          </cell>
          <cell r="J6">
            <v>8.3333333333333329E-2</v>
          </cell>
          <cell r="L6">
            <v>3.8245305388763537E-5</v>
          </cell>
          <cell r="M6">
            <v>9.5613263471908835E-5</v>
          </cell>
        </row>
        <row r="7">
          <cell r="G7">
            <v>6</v>
          </cell>
          <cell r="H7">
            <v>0.5</v>
          </cell>
          <cell r="I7">
            <v>1.125</v>
          </cell>
          <cell r="J7">
            <v>0.1111111111111111</v>
          </cell>
          <cell r="L7">
            <v>1.5807777426493833E-4</v>
          </cell>
          <cell r="M7">
            <v>3.1615554852987667E-4</v>
          </cell>
        </row>
        <row r="8">
          <cell r="G8">
            <v>7</v>
          </cell>
          <cell r="H8">
            <v>0.42857142857142855</v>
          </cell>
          <cell r="I8">
            <v>1.125</v>
          </cell>
          <cell r="J8">
            <v>9.5238095238095233E-2</v>
          </cell>
          <cell r="L8">
            <v>7.3880527827310008E-5</v>
          </cell>
          <cell r="M8">
            <v>1.7238789826372336E-4</v>
          </cell>
        </row>
        <row r="9">
          <cell r="G9">
            <v>8</v>
          </cell>
          <cell r="H9">
            <v>0.375</v>
          </cell>
          <cell r="I9">
            <v>1.125</v>
          </cell>
          <cell r="J9">
            <v>8.3333333333333329E-2</v>
          </cell>
          <cell r="L9">
            <v>3.8245305388763537E-5</v>
          </cell>
          <cell r="M9">
            <v>1.0198748103670276E-4</v>
          </cell>
        </row>
        <row r="10">
          <cell r="G10">
            <v>9</v>
          </cell>
          <cell r="H10">
            <v>0.33333333333333331</v>
          </cell>
          <cell r="I10">
            <v>1.125</v>
          </cell>
          <cell r="J10">
            <v>7.407407407407407E-2</v>
          </cell>
          <cell r="L10">
            <v>2.1398677315155592E-5</v>
          </cell>
          <cell r="M10">
            <v>6.4196031945466786E-5</v>
          </cell>
        </row>
        <row r="11">
          <cell r="G11">
            <v>10</v>
          </cell>
          <cell r="H11">
            <v>0.5</v>
          </cell>
          <cell r="I11">
            <v>1.1320754716981132</v>
          </cell>
          <cell r="J11">
            <v>0.11041666666666666</v>
          </cell>
          <cell r="L11">
            <v>1.5325941931230912E-4</v>
          </cell>
          <cell r="M11">
            <v>3.0651883862461824E-4</v>
          </cell>
        </row>
        <row r="12">
          <cell r="G12">
            <v>11</v>
          </cell>
          <cell r="H12">
            <v>0.45454545454545453</v>
          </cell>
          <cell r="I12">
            <v>1.1320754716981132</v>
          </cell>
          <cell r="J12">
            <v>0.10037878787878787</v>
          </cell>
          <cell r="L12">
            <v>9.5752128146271359E-5</v>
          </cell>
          <cell r="M12">
            <v>2.10654681921797E-4</v>
          </cell>
        </row>
        <row r="13">
          <cell r="G13">
            <v>12</v>
          </cell>
          <cell r="H13">
            <v>0.41666666666666669</v>
          </cell>
          <cell r="I13">
            <v>1.1320754716981132</v>
          </cell>
          <cell r="J13">
            <v>9.2013888888888895E-2</v>
          </cell>
          <cell r="L13">
            <v>6.2339923395819918E-5</v>
          </cell>
          <cell r="M13">
            <v>1.4961581614996781E-4</v>
          </cell>
        </row>
        <row r="14">
          <cell r="G14">
            <v>13</v>
          </cell>
          <cell r="H14">
            <v>0.38461538461538464</v>
          </cell>
          <cell r="I14">
            <v>1.1320754716981132</v>
          </cell>
          <cell r="J14">
            <v>8.4935897435897439E-2</v>
          </cell>
          <cell r="L14">
            <v>4.2011074344055741E-5</v>
          </cell>
          <cell r="M14">
            <v>1.0922879329454491E-4</v>
          </cell>
        </row>
        <row r="15">
          <cell r="G15">
            <v>14</v>
          </cell>
          <cell r="H15">
            <v>0.35714285714285715</v>
          </cell>
          <cell r="I15">
            <v>1.1320754716981132</v>
          </cell>
          <cell r="J15">
            <v>7.8869047619047616E-2</v>
          </cell>
          <cell r="L15">
            <v>2.9153323033366349E-5</v>
          </cell>
          <cell r="M15">
            <v>8.1629304493425781E-5</v>
          </cell>
        </row>
        <row r="16">
          <cell r="G16">
            <v>15</v>
          </cell>
          <cell r="H16">
            <v>0.46666666666666667</v>
          </cell>
          <cell r="I16">
            <v>1.0632911392405064</v>
          </cell>
          <cell r="J16">
            <v>0.10972222222222221</v>
          </cell>
          <cell r="L16">
            <v>1.4855920246419123E-4</v>
          </cell>
          <cell r="M16">
            <v>3.1834114813755261E-4</v>
          </cell>
        </row>
        <row r="17">
          <cell r="G17">
            <v>16</v>
          </cell>
          <cell r="H17">
            <v>0.4375</v>
          </cell>
          <cell r="I17">
            <v>1.0632911392405064</v>
          </cell>
          <cell r="J17">
            <v>0.10286458333333333</v>
          </cell>
          <cell r="L17">
            <v>1.0803503474696975E-4</v>
          </cell>
          <cell r="M17">
            <v>2.4693722227878801E-4</v>
          </cell>
        </row>
        <row r="18">
          <cell r="G18">
            <v>17</v>
          </cell>
          <cell r="H18">
            <v>0.41176470588235292</v>
          </cell>
          <cell r="I18">
            <v>1.0632911392405064</v>
          </cell>
          <cell r="J18">
            <v>9.6813725490196068E-2</v>
          </cell>
          <cell r="L18">
            <v>8.010834749484491E-5</v>
          </cell>
          <cell r="M18">
            <v>1.9454884391605193E-4</v>
          </cell>
        </row>
        <row r="19">
          <cell r="G19">
            <v>18</v>
          </cell>
          <cell r="H19">
            <v>0.3888888888888889</v>
          </cell>
          <cell r="I19">
            <v>1.0632911392405064</v>
          </cell>
          <cell r="J19">
            <v>9.1435185185185175E-2</v>
          </cell>
          <cell r="L19">
            <v>6.0430266804971592E-5</v>
          </cell>
          <cell r="M19">
            <v>1.5539211464135551E-4</v>
          </cell>
        </row>
        <row r="20">
          <cell r="G20">
            <v>19</v>
          </cell>
          <cell r="H20">
            <v>0.36842105263157893</v>
          </cell>
          <cell r="I20">
            <v>1.0632911392405064</v>
          </cell>
          <cell r="J20">
            <v>8.6622807017543851E-2</v>
          </cell>
          <cell r="L20">
            <v>4.6288606965711241E-5</v>
          </cell>
          <cell r="M20">
            <v>1.2564050462121623E-4</v>
          </cell>
        </row>
        <row r="21">
          <cell r="G21">
            <v>20</v>
          </cell>
          <cell r="H21">
            <v>0.35</v>
          </cell>
          <cell r="I21">
            <v>1.0632911392405064</v>
          </cell>
          <cell r="J21">
            <v>8.2291666666666652E-2</v>
          </cell>
          <cell r="L21">
            <v>3.5945546937121111E-5</v>
          </cell>
          <cell r="M21">
            <v>1.0270156267748889E-4</v>
          </cell>
        </row>
        <row r="22">
          <cell r="G22">
            <v>21</v>
          </cell>
          <cell r="H22">
            <v>0.33333333333333331</v>
          </cell>
          <cell r="I22">
            <v>1.0632911392405064</v>
          </cell>
          <cell r="J22">
            <v>7.8373015873015858E-2</v>
          </cell>
          <cell r="L22">
            <v>2.8260468039181234E-5</v>
          </cell>
          <cell r="M22">
            <v>8.4781404117543709E-5</v>
          </cell>
        </row>
        <row r="23">
          <cell r="G23">
            <v>22</v>
          </cell>
          <cell r="H23">
            <v>0.31818181818181818</v>
          </cell>
          <cell r="I23">
            <v>1.0632911392405064</v>
          </cell>
          <cell r="J23">
            <v>7.481060606060605E-2</v>
          </cell>
          <cell r="L23">
            <v>2.2468413670728971E-5</v>
          </cell>
          <cell r="M23">
            <v>7.0615014393719629E-5</v>
          </cell>
        </row>
        <row r="24">
          <cell r="G24">
            <v>23</v>
          </cell>
          <cell r="H24">
            <v>0.30434782608695654</v>
          </cell>
          <cell r="I24">
            <v>1.0632911392405064</v>
          </cell>
          <cell r="J24">
            <v>7.1557971014492752E-2</v>
          </cell>
          <cell r="L24">
            <v>1.804630355342207E-5</v>
          </cell>
          <cell r="M24">
            <v>5.929499738981537E-5</v>
          </cell>
        </row>
        <row r="25">
          <cell r="G25">
            <v>24</v>
          </cell>
          <cell r="H25">
            <v>0.29166666666666669</v>
          </cell>
          <cell r="I25">
            <v>1.0632911392405064</v>
          </cell>
          <cell r="J25">
            <v>6.8576388888888881E-2</v>
          </cell>
          <cell r="L25">
            <v>1.4630104057100138E-5</v>
          </cell>
          <cell r="M25">
            <v>5.0160356767200466E-5</v>
          </cell>
        </row>
        <row r="26">
          <cell r="G26">
            <v>25</v>
          </cell>
          <cell r="H26">
            <v>0.4</v>
          </cell>
          <cell r="I26">
            <v>1.0169491525423728</v>
          </cell>
          <cell r="J26">
            <v>9.8333333333333342E-2</v>
          </cell>
          <cell r="L26">
            <v>8.6504928522293501E-5</v>
          </cell>
          <cell r="M26">
            <v>2.1626232130573375E-4</v>
          </cell>
        </row>
        <row r="27">
          <cell r="G27">
            <v>26</v>
          </cell>
          <cell r="H27">
            <v>0.38461538461538464</v>
          </cell>
          <cell r="I27">
            <v>1.0169491525423728</v>
          </cell>
          <cell r="J27">
            <v>9.4551282051282062E-2</v>
          </cell>
          <cell r="L27">
            <v>7.128984417416582E-5</v>
          </cell>
          <cell r="M27">
            <v>1.8535359485283114E-4</v>
          </cell>
        </row>
        <row r="28">
          <cell r="G28">
            <v>27</v>
          </cell>
          <cell r="H28">
            <v>0.37037037037037035</v>
          </cell>
          <cell r="I28">
            <v>1.0169491525423728</v>
          </cell>
          <cell r="J28">
            <v>9.1049382716049385E-2</v>
          </cell>
          <cell r="L28">
            <v>5.9183309284984165E-5</v>
          </cell>
          <cell r="M28">
            <v>1.5979493506945724E-4</v>
          </cell>
        </row>
        <row r="29">
          <cell r="G29">
            <v>28</v>
          </cell>
          <cell r="H29">
            <v>0.35714285714285715</v>
          </cell>
          <cell r="I29">
            <v>1.0169491525423728</v>
          </cell>
          <cell r="J29">
            <v>8.7797619047619055E-2</v>
          </cell>
          <cell r="L29">
            <v>4.9467523769638059E-5</v>
          </cell>
          <cell r="M29">
            <v>1.3850906655498655E-4</v>
          </cell>
        </row>
        <row r="30">
          <cell r="G30">
            <v>29</v>
          </cell>
          <cell r="H30">
            <v>0.34482758620689657</v>
          </cell>
          <cell r="I30">
            <v>1.0169491525423728</v>
          </cell>
          <cell r="J30">
            <v>8.4770114942528743E-2</v>
          </cell>
          <cell r="L30">
            <v>4.1608339468588221E-5</v>
          </cell>
          <cell r="M30">
            <v>1.2066418445890583E-4</v>
          </cell>
        </row>
        <row r="31">
          <cell r="G31">
            <v>30</v>
          </cell>
          <cell r="H31">
            <v>0.43333333333333335</v>
          </cell>
          <cell r="I31">
            <v>1.0064516129032259</v>
          </cell>
          <cell r="J31">
            <v>0.10763888888888888</v>
          </cell>
          <cell r="L31">
            <v>1.3514559603100069E-4</v>
          </cell>
          <cell r="M31">
            <v>3.1187445237923234E-4</v>
          </cell>
        </row>
        <row r="32">
          <cell r="G32">
            <v>31</v>
          </cell>
          <cell r="H32">
            <v>0.41935483870967744</v>
          </cell>
          <cell r="I32">
            <v>1.0064516129032259</v>
          </cell>
          <cell r="J32">
            <v>0.10416666666666666</v>
          </cell>
          <cell r="L32">
            <v>1.1495315410671333E-4</v>
          </cell>
          <cell r="M32">
            <v>2.741190597929318E-4</v>
          </cell>
        </row>
        <row r="33">
          <cell r="G33">
            <v>32</v>
          </cell>
          <cell r="H33">
            <v>0.40625</v>
          </cell>
          <cell r="I33">
            <v>1.0064516129032259</v>
          </cell>
          <cell r="J33">
            <v>0.10091145833333331</v>
          </cell>
          <cell r="L33">
            <v>9.8285215815575451E-5</v>
          </cell>
          <cell r="M33">
            <v>2.4193283893064727E-4</v>
          </cell>
        </row>
      </sheetData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zoomScale="70" zoomScaleNormal="70" workbookViewId="0">
      <selection activeCell="M1" sqref="M1"/>
    </sheetView>
  </sheetViews>
  <sheetFormatPr defaultRowHeight="15" x14ac:dyDescent="0.25"/>
  <cols>
    <col min="1" max="1" width="10.42578125" customWidth="1"/>
    <col min="4" max="4" width="12" customWidth="1"/>
    <col min="5" max="5" width="9.7109375" customWidth="1"/>
    <col min="6" max="6" width="2.85546875" customWidth="1"/>
    <col min="257" max="257" width="10.42578125" customWidth="1"/>
    <col min="260" max="260" width="12" customWidth="1"/>
    <col min="261" max="261" width="9.7109375" customWidth="1"/>
    <col min="262" max="262" width="2.85546875" customWidth="1"/>
    <col min="513" max="513" width="10.42578125" customWidth="1"/>
    <col min="516" max="516" width="12" customWidth="1"/>
    <col min="517" max="517" width="9.7109375" customWidth="1"/>
    <col min="518" max="518" width="2.85546875" customWidth="1"/>
    <col min="769" max="769" width="10.42578125" customWidth="1"/>
    <col min="772" max="772" width="12" customWidth="1"/>
    <col min="773" max="773" width="9.7109375" customWidth="1"/>
    <col min="774" max="774" width="2.85546875" customWidth="1"/>
    <col min="1025" max="1025" width="10.42578125" customWidth="1"/>
    <col min="1028" max="1028" width="12" customWidth="1"/>
    <col min="1029" max="1029" width="9.7109375" customWidth="1"/>
    <col min="1030" max="1030" width="2.85546875" customWidth="1"/>
    <col min="1281" max="1281" width="10.42578125" customWidth="1"/>
    <col min="1284" max="1284" width="12" customWidth="1"/>
    <col min="1285" max="1285" width="9.7109375" customWidth="1"/>
    <col min="1286" max="1286" width="2.85546875" customWidth="1"/>
    <col min="1537" max="1537" width="10.42578125" customWidth="1"/>
    <col min="1540" max="1540" width="12" customWidth="1"/>
    <col min="1541" max="1541" width="9.7109375" customWidth="1"/>
    <col min="1542" max="1542" width="2.85546875" customWidth="1"/>
    <col min="1793" max="1793" width="10.42578125" customWidth="1"/>
    <col min="1796" max="1796" width="12" customWidth="1"/>
    <col min="1797" max="1797" width="9.7109375" customWidth="1"/>
    <col min="1798" max="1798" width="2.85546875" customWidth="1"/>
    <col min="2049" max="2049" width="10.42578125" customWidth="1"/>
    <col min="2052" max="2052" width="12" customWidth="1"/>
    <col min="2053" max="2053" width="9.7109375" customWidth="1"/>
    <col min="2054" max="2054" width="2.85546875" customWidth="1"/>
    <col min="2305" max="2305" width="10.42578125" customWidth="1"/>
    <col min="2308" max="2308" width="12" customWidth="1"/>
    <col min="2309" max="2309" width="9.7109375" customWidth="1"/>
    <col min="2310" max="2310" width="2.85546875" customWidth="1"/>
    <col min="2561" max="2561" width="10.42578125" customWidth="1"/>
    <col min="2564" max="2564" width="12" customWidth="1"/>
    <col min="2565" max="2565" width="9.7109375" customWidth="1"/>
    <col min="2566" max="2566" width="2.85546875" customWidth="1"/>
    <col min="2817" max="2817" width="10.42578125" customWidth="1"/>
    <col min="2820" max="2820" width="12" customWidth="1"/>
    <col min="2821" max="2821" width="9.7109375" customWidth="1"/>
    <col min="2822" max="2822" width="2.85546875" customWidth="1"/>
    <col min="3073" max="3073" width="10.42578125" customWidth="1"/>
    <col min="3076" max="3076" width="12" customWidth="1"/>
    <col min="3077" max="3077" width="9.7109375" customWidth="1"/>
    <col min="3078" max="3078" width="2.85546875" customWidth="1"/>
    <col min="3329" max="3329" width="10.42578125" customWidth="1"/>
    <col min="3332" max="3332" width="12" customWidth="1"/>
    <col min="3333" max="3333" width="9.7109375" customWidth="1"/>
    <col min="3334" max="3334" width="2.85546875" customWidth="1"/>
    <col min="3585" max="3585" width="10.42578125" customWidth="1"/>
    <col min="3588" max="3588" width="12" customWidth="1"/>
    <col min="3589" max="3589" width="9.7109375" customWidth="1"/>
    <col min="3590" max="3590" width="2.85546875" customWidth="1"/>
    <col min="3841" max="3841" width="10.42578125" customWidth="1"/>
    <col min="3844" max="3844" width="12" customWidth="1"/>
    <col min="3845" max="3845" width="9.7109375" customWidth="1"/>
    <col min="3846" max="3846" width="2.85546875" customWidth="1"/>
    <col min="4097" max="4097" width="10.42578125" customWidth="1"/>
    <col min="4100" max="4100" width="12" customWidth="1"/>
    <col min="4101" max="4101" width="9.7109375" customWidth="1"/>
    <col min="4102" max="4102" width="2.85546875" customWidth="1"/>
    <col min="4353" max="4353" width="10.42578125" customWidth="1"/>
    <col min="4356" max="4356" width="12" customWidth="1"/>
    <col min="4357" max="4357" width="9.7109375" customWidth="1"/>
    <col min="4358" max="4358" width="2.85546875" customWidth="1"/>
    <col min="4609" max="4609" width="10.42578125" customWidth="1"/>
    <col min="4612" max="4612" width="12" customWidth="1"/>
    <col min="4613" max="4613" width="9.7109375" customWidth="1"/>
    <col min="4614" max="4614" width="2.85546875" customWidth="1"/>
    <col min="4865" max="4865" width="10.42578125" customWidth="1"/>
    <col min="4868" max="4868" width="12" customWidth="1"/>
    <col min="4869" max="4869" width="9.7109375" customWidth="1"/>
    <col min="4870" max="4870" width="2.85546875" customWidth="1"/>
    <col min="5121" max="5121" width="10.42578125" customWidth="1"/>
    <col min="5124" max="5124" width="12" customWidth="1"/>
    <col min="5125" max="5125" width="9.7109375" customWidth="1"/>
    <col min="5126" max="5126" width="2.85546875" customWidth="1"/>
    <col min="5377" max="5377" width="10.42578125" customWidth="1"/>
    <col min="5380" max="5380" width="12" customWidth="1"/>
    <col min="5381" max="5381" width="9.7109375" customWidth="1"/>
    <col min="5382" max="5382" width="2.85546875" customWidth="1"/>
    <col min="5633" max="5633" width="10.42578125" customWidth="1"/>
    <col min="5636" max="5636" width="12" customWidth="1"/>
    <col min="5637" max="5637" width="9.7109375" customWidth="1"/>
    <col min="5638" max="5638" width="2.85546875" customWidth="1"/>
    <col min="5889" max="5889" width="10.42578125" customWidth="1"/>
    <col min="5892" max="5892" width="12" customWidth="1"/>
    <col min="5893" max="5893" width="9.7109375" customWidth="1"/>
    <col min="5894" max="5894" width="2.85546875" customWidth="1"/>
    <col min="6145" max="6145" width="10.42578125" customWidth="1"/>
    <col min="6148" max="6148" width="12" customWidth="1"/>
    <col min="6149" max="6149" width="9.7109375" customWidth="1"/>
    <col min="6150" max="6150" width="2.85546875" customWidth="1"/>
    <col min="6401" max="6401" width="10.42578125" customWidth="1"/>
    <col min="6404" max="6404" width="12" customWidth="1"/>
    <col min="6405" max="6405" width="9.7109375" customWidth="1"/>
    <col min="6406" max="6406" width="2.85546875" customWidth="1"/>
    <col min="6657" max="6657" width="10.42578125" customWidth="1"/>
    <col min="6660" max="6660" width="12" customWidth="1"/>
    <col min="6661" max="6661" width="9.7109375" customWidth="1"/>
    <col min="6662" max="6662" width="2.85546875" customWidth="1"/>
    <col min="6913" max="6913" width="10.42578125" customWidth="1"/>
    <col min="6916" max="6916" width="12" customWidth="1"/>
    <col min="6917" max="6917" width="9.7109375" customWidth="1"/>
    <col min="6918" max="6918" width="2.85546875" customWidth="1"/>
    <col min="7169" max="7169" width="10.42578125" customWidth="1"/>
    <col min="7172" max="7172" width="12" customWidth="1"/>
    <col min="7173" max="7173" width="9.7109375" customWidth="1"/>
    <col min="7174" max="7174" width="2.85546875" customWidth="1"/>
    <col min="7425" max="7425" width="10.42578125" customWidth="1"/>
    <col min="7428" max="7428" width="12" customWidth="1"/>
    <col min="7429" max="7429" width="9.7109375" customWidth="1"/>
    <col min="7430" max="7430" width="2.85546875" customWidth="1"/>
    <col min="7681" max="7681" width="10.42578125" customWidth="1"/>
    <col min="7684" max="7684" width="12" customWidth="1"/>
    <col min="7685" max="7685" width="9.7109375" customWidth="1"/>
    <col min="7686" max="7686" width="2.85546875" customWidth="1"/>
    <col min="7937" max="7937" width="10.42578125" customWidth="1"/>
    <col min="7940" max="7940" width="12" customWidth="1"/>
    <col min="7941" max="7941" width="9.7109375" customWidth="1"/>
    <col min="7942" max="7942" width="2.85546875" customWidth="1"/>
    <col min="8193" max="8193" width="10.42578125" customWidth="1"/>
    <col min="8196" max="8196" width="12" customWidth="1"/>
    <col min="8197" max="8197" width="9.7109375" customWidth="1"/>
    <col min="8198" max="8198" width="2.85546875" customWidth="1"/>
    <col min="8449" max="8449" width="10.42578125" customWidth="1"/>
    <col min="8452" max="8452" width="12" customWidth="1"/>
    <col min="8453" max="8453" width="9.7109375" customWidth="1"/>
    <col min="8454" max="8454" width="2.85546875" customWidth="1"/>
    <col min="8705" max="8705" width="10.42578125" customWidth="1"/>
    <col min="8708" max="8708" width="12" customWidth="1"/>
    <col min="8709" max="8709" width="9.7109375" customWidth="1"/>
    <col min="8710" max="8710" width="2.85546875" customWidth="1"/>
    <col min="8961" max="8961" width="10.42578125" customWidth="1"/>
    <col min="8964" max="8964" width="12" customWidth="1"/>
    <col min="8965" max="8965" width="9.7109375" customWidth="1"/>
    <col min="8966" max="8966" width="2.85546875" customWidth="1"/>
    <col min="9217" max="9217" width="10.42578125" customWidth="1"/>
    <col min="9220" max="9220" width="12" customWidth="1"/>
    <col min="9221" max="9221" width="9.7109375" customWidth="1"/>
    <col min="9222" max="9222" width="2.85546875" customWidth="1"/>
    <col min="9473" max="9473" width="10.42578125" customWidth="1"/>
    <col min="9476" max="9476" width="12" customWidth="1"/>
    <col min="9477" max="9477" width="9.7109375" customWidth="1"/>
    <col min="9478" max="9478" width="2.85546875" customWidth="1"/>
    <col min="9729" max="9729" width="10.42578125" customWidth="1"/>
    <col min="9732" max="9732" width="12" customWidth="1"/>
    <col min="9733" max="9733" width="9.7109375" customWidth="1"/>
    <col min="9734" max="9734" width="2.85546875" customWidth="1"/>
    <col min="9985" max="9985" width="10.42578125" customWidth="1"/>
    <col min="9988" max="9988" width="12" customWidth="1"/>
    <col min="9989" max="9989" width="9.7109375" customWidth="1"/>
    <col min="9990" max="9990" width="2.85546875" customWidth="1"/>
    <col min="10241" max="10241" width="10.42578125" customWidth="1"/>
    <col min="10244" max="10244" width="12" customWidth="1"/>
    <col min="10245" max="10245" width="9.7109375" customWidth="1"/>
    <col min="10246" max="10246" width="2.85546875" customWidth="1"/>
    <col min="10497" max="10497" width="10.42578125" customWidth="1"/>
    <col min="10500" max="10500" width="12" customWidth="1"/>
    <col min="10501" max="10501" width="9.7109375" customWidth="1"/>
    <col min="10502" max="10502" width="2.85546875" customWidth="1"/>
    <col min="10753" max="10753" width="10.42578125" customWidth="1"/>
    <col min="10756" max="10756" width="12" customWidth="1"/>
    <col min="10757" max="10757" width="9.7109375" customWidth="1"/>
    <col min="10758" max="10758" width="2.85546875" customWidth="1"/>
    <col min="11009" max="11009" width="10.42578125" customWidth="1"/>
    <col min="11012" max="11012" width="12" customWidth="1"/>
    <col min="11013" max="11013" width="9.7109375" customWidth="1"/>
    <col min="11014" max="11014" width="2.85546875" customWidth="1"/>
    <col min="11265" max="11265" width="10.42578125" customWidth="1"/>
    <col min="11268" max="11268" width="12" customWidth="1"/>
    <col min="11269" max="11269" width="9.7109375" customWidth="1"/>
    <col min="11270" max="11270" width="2.85546875" customWidth="1"/>
    <col min="11521" max="11521" width="10.42578125" customWidth="1"/>
    <col min="11524" max="11524" width="12" customWidth="1"/>
    <col min="11525" max="11525" width="9.7109375" customWidth="1"/>
    <col min="11526" max="11526" width="2.85546875" customWidth="1"/>
    <col min="11777" max="11777" width="10.42578125" customWidth="1"/>
    <col min="11780" max="11780" width="12" customWidth="1"/>
    <col min="11781" max="11781" width="9.7109375" customWidth="1"/>
    <col min="11782" max="11782" width="2.85546875" customWidth="1"/>
    <col min="12033" max="12033" width="10.42578125" customWidth="1"/>
    <col min="12036" max="12036" width="12" customWidth="1"/>
    <col min="12037" max="12037" width="9.7109375" customWidth="1"/>
    <col min="12038" max="12038" width="2.85546875" customWidth="1"/>
    <col min="12289" max="12289" width="10.42578125" customWidth="1"/>
    <col min="12292" max="12292" width="12" customWidth="1"/>
    <col min="12293" max="12293" width="9.7109375" customWidth="1"/>
    <col min="12294" max="12294" width="2.85546875" customWidth="1"/>
    <col min="12545" max="12545" width="10.42578125" customWidth="1"/>
    <col min="12548" max="12548" width="12" customWidth="1"/>
    <col min="12549" max="12549" width="9.7109375" customWidth="1"/>
    <col min="12550" max="12550" width="2.85546875" customWidth="1"/>
    <col min="12801" max="12801" width="10.42578125" customWidth="1"/>
    <col min="12804" max="12804" width="12" customWidth="1"/>
    <col min="12805" max="12805" width="9.7109375" customWidth="1"/>
    <col min="12806" max="12806" width="2.85546875" customWidth="1"/>
    <col min="13057" max="13057" width="10.42578125" customWidth="1"/>
    <col min="13060" max="13060" width="12" customWidth="1"/>
    <col min="13061" max="13061" width="9.7109375" customWidth="1"/>
    <col min="13062" max="13062" width="2.85546875" customWidth="1"/>
    <col min="13313" max="13313" width="10.42578125" customWidth="1"/>
    <col min="13316" max="13316" width="12" customWidth="1"/>
    <col min="13317" max="13317" width="9.7109375" customWidth="1"/>
    <col min="13318" max="13318" width="2.85546875" customWidth="1"/>
    <col min="13569" max="13569" width="10.42578125" customWidth="1"/>
    <col min="13572" max="13572" width="12" customWidth="1"/>
    <col min="13573" max="13573" width="9.7109375" customWidth="1"/>
    <col min="13574" max="13574" width="2.85546875" customWidth="1"/>
    <col min="13825" max="13825" width="10.42578125" customWidth="1"/>
    <col min="13828" max="13828" width="12" customWidth="1"/>
    <col min="13829" max="13829" width="9.7109375" customWidth="1"/>
    <col min="13830" max="13830" width="2.85546875" customWidth="1"/>
    <col min="14081" max="14081" width="10.42578125" customWidth="1"/>
    <col min="14084" max="14084" width="12" customWidth="1"/>
    <col min="14085" max="14085" width="9.7109375" customWidth="1"/>
    <col min="14086" max="14086" width="2.85546875" customWidth="1"/>
    <col min="14337" max="14337" width="10.42578125" customWidth="1"/>
    <col min="14340" max="14340" width="12" customWidth="1"/>
    <col min="14341" max="14341" width="9.7109375" customWidth="1"/>
    <col min="14342" max="14342" width="2.85546875" customWidth="1"/>
    <col min="14593" max="14593" width="10.42578125" customWidth="1"/>
    <col min="14596" max="14596" width="12" customWidth="1"/>
    <col min="14597" max="14597" width="9.7109375" customWidth="1"/>
    <col min="14598" max="14598" width="2.85546875" customWidth="1"/>
    <col min="14849" max="14849" width="10.42578125" customWidth="1"/>
    <col min="14852" max="14852" width="12" customWidth="1"/>
    <col min="14853" max="14853" width="9.7109375" customWidth="1"/>
    <col min="14854" max="14854" width="2.85546875" customWidth="1"/>
    <col min="15105" max="15105" width="10.42578125" customWidth="1"/>
    <col min="15108" max="15108" width="12" customWidth="1"/>
    <col min="15109" max="15109" width="9.7109375" customWidth="1"/>
    <col min="15110" max="15110" width="2.85546875" customWidth="1"/>
    <col min="15361" max="15361" width="10.42578125" customWidth="1"/>
    <col min="15364" max="15364" width="12" customWidth="1"/>
    <col min="15365" max="15365" width="9.7109375" customWidth="1"/>
    <col min="15366" max="15366" width="2.85546875" customWidth="1"/>
    <col min="15617" max="15617" width="10.42578125" customWidth="1"/>
    <col min="15620" max="15620" width="12" customWidth="1"/>
    <col min="15621" max="15621" width="9.7109375" customWidth="1"/>
    <col min="15622" max="15622" width="2.85546875" customWidth="1"/>
    <col min="15873" max="15873" width="10.42578125" customWidth="1"/>
    <col min="15876" max="15876" width="12" customWidth="1"/>
    <col min="15877" max="15877" width="9.7109375" customWidth="1"/>
    <col min="15878" max="15878" width="2.85546875" customWidth="1"/>
    <col min="16129" max="16129" width="10.42578125" customWidth="1"/>
    <col min="16132" max="16132" width="12" customWidth="1"/>
    <col min="16133" max="16133" width="9.7109375" customWidth="1"/>
    <col min="16134" max="16134" width="2.85546875" customWidth="1"/>
  </cols>
  <sheetData>
    <row r="1" spans="1:13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2" t="s">
        <v>6</v>
      </c>
      <c r="I1" s="2" t="s">
        <v>7</v>
      </c>
      <c r="J1" s="2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>
        <v>1</v>
      </c>
      <c r="B2">
        <v>0</v>
      </c>
      <c r="C2">
        <v>40</v>
      </c>
      <c r="D2">
        <f>C2/60</f>
        <v>0.66666666666666663</v>
      </c>
      <c r="E2">
        <v>4</v>
      </c>
      <c r="G2">
        <v>1</v>
      </c>
      <c r="H2">
        <f>COUNTIF($B$2:$B$33,"&lt;="&amp;G2)/G2</f>
        <v>1</v>
      </c>
      <c r="I2">
        <f>1/AVERAGEIF($B$2:$B$33,"&lt;="&amp;G2,$D$2:$D$33)</f>
        <v>1.5</v>
      </c>
      <c r="J2">
        <f>H2/($E$2*I2)</f>
        <v>0.16666666666666666</v>
      </c>
      <c r="K2">
        <f t="shared" ref="K2:K33" si="0">1/(SUM(($H2/$I2)^0/FACT(0),($H2/$I2)^1/FACT(1))+(($H2/$I2)^$E$2/(FACT($E$2)*(1-J2))))</f>
        <v>0.59646539027982326</v>
      </c>
      <c r="L2">
        <f t="shared" ref="L2:L33" si="1">(K2*($H2/$I2)^$E$2*J2)/(FACT($E$2)*(1-J2)^2)</f>
        <v>1.1782032400589101E-3</v>
      </c>
      <c r="M2">
        <f>L2/H2</f>
        <v>1.1782032400589101E-3</v>
      </c>
    </row>
    <row r="3" spans="1:13" x14ac:dyDescent="0.25">
      <c r="A3">
        <v>2</v>
      </c>
      <c r="B3">
        <v>6</v>
      </c>
      <c r="C3">
        <v>60</v>
      </c>
      <c r="D3">
        <f t="shared" ref="D3:D33" si="2">C3/60</f>
        <v>1</v>
      </c>
      <c r="G3">
        <v>2</v>
      </c>
      <c r="H3">
        <f t="shared" ref="H3:H33" si="3">COUNTIF($B$2:$B$33,"&lt;="&amp;G3)/G3</f>
        <v>0.5</v>
      </c>
      <c r="I3">
        <f t="shared" ref="I3:I33" si="4">1/AVERAGEIF($B$2:$B$33,"&lt;="&amp;G3,$D$2:$D$33)</f>
        <v>1.5</v>
      </c>
      <c r="J3">
        <f t="shared" ref="J3:J33" si="5">H3/($E$2*I3)</f>
        <v>8.3333333333333329E-2</v>
      </c>
      <c r="K3">
        <f t="shared" si="0"/>
        <v>0.7496844762305428</v>
      </c>
      <c r="L3">
        <f t="shared" si="1"/>
        <v>3.8245305388763537E-5</v>
      </c>
      <c r="M3">
        <f t="shared" ref="M3:M33" si="6">L3/H3</f>
        <v>7.6490610777527073E-5</v>
      </c>
    </row>
    <row r="4" spans="1:13" x14ac:dyDescent="0.25">
      <c r="A4">
        <v>3</v>
      </c>
      <c r="B4">
        <v>40</v>
      </c>
      <c r="C4">
        <v>65</v>
      </c>
      <c r="D4">
        <f t="shared" si="2"/>
        <v>1.0833333333333333</v>
      </c>
      <c r="G4">
        <v>3</v>
      </c>
      <c r="H4">
        <f t="shared" si="3"/>
        <v>0.33333333333333331</v>
      </c>
      <c r="I4">
        <f t="shared" si="4"/>
        <v>1.5</v>
      </c>
      <c r="J4">
        <f t="shared" si="5"/>
        <v>5.5555555555555552E-2</v>
      </c>
      <c r="K4">
        <f t="shared" si="0"/>
        <v>0.81810980305864223</v>
      </c>
      <c r="L4">
        <f t="shared" si="1"/>
        <v>5.1775578753891244E-6</v>
      </c>
      <c r="M4">
        <f t="shared" si="6"/>
        <v>1.5532673626167376E-5</v>
      </c>
    </row>
    <row r="5" spans="1:13" x14ac:dyDescent="0.25">
      <c r="A5">
        <v>4</v>
      </c>
      <c r="B5">
        <v>30</v>
      </c>
      <c r="C5">
        <v>60</v>
      </c>
      <c r="D5">
        <f t="shared" si="2"/>
        <v>1</v>
      </c>
      <c r="G5">
        <v>4</v>
      </c>
      <c r="H5">
        <f t="shared" si="3"/>
        <v>0.25</v>
      </c>
      <c r="I5">
        <f t="shared" si="4"/>
        <v>1.5</v>
      </c>
      <c r="J5">
        <f t="shared" si="5"/>
        <v>4.1666666666666664E-2</v>
      </c>
      <c r="K5">
        <f t="shared" si="0"/>
        <v>0.85711821031141266</v>
      </c>
      <c r="L5">
        <f t="shared" si="1"/>
        <v>1.2502015950071946E-6</v>
      </c>
      <c r="M5">
        <f t="shared" si="6"/>
        <v>5.0008063800287783E-6</v>
      </c>
    </row>
    <row r="6" spans="1:13" x14ac:dyDescent="0.25">
      <c r="A6">
        <v>5</v>
      </c>
      <c r="B6">
        <v>50</v>
      </c>
      <c r="C6">
        <v>40</v>
      </c>
      <c r="D6">
        <f t="shared" si="2"/>
        <v>0.66666666666666663</v>
      </c>
      <c r="G6">
        <v>5</v>
      </c>
      <c r="H6">
        <f t="shared" si="3"/>
        <v>0.4</v>
      </c>
      <c r="I6">
        <f t="shared" si="4"/>
        <v>1.2000000000000002</v>
      </c>
      <c r="J6">
        <f t="shared" si="5"/>
        <v>8.3333333333333329E-2</v>
      </c>
      <c r="K6">
        <f t="shared" si="0"/>
        <v>0.7496844762305428</v>
      </c>
      <c r="L6">
        <f t="shared" si="1"/>
        <v>3.8245305388763537E-5</v>
      </c>
      <c r="M6">
        <f t="shared" si="6"/>
        <v>9.5613263471908835E-5</v>
      </c>
    </row>
    <row r="7" spans="1:13" x14ac:dyDescent="0.25">
      <c r="A7">
        <v>6</v>
      </c>
      <c r="B7">
        <v>30</v>
      </c>
      <c r="C7">
        <v>55</v>
      </c>
      <c r="D7">
        <f t="shared" si="2"/>
        <v>0.91666666666666663</v>
      </c>
      <c r="G7">
        <v>6</v>
      </c>
      <c r="H7">
        <f t="shared" si="3"/>
        <v>0.5</v>
      </c>
      <c r="I7">
        <f t="shared" si="4"/>
        <v>1.125</v>
      </c>
      <c r="J7">
        <f t="shared" si="5"/>
        <v>0.1111111111111111</v>
      </c>
      <c r="K7">
        <f t="shared" si="0"/>
        <v>0.69143218463484035</v>
      </c>
      <c r="L7">
        <f t="shared" si="1"/>
        <v>1.5807777426493833E-4</v>
      </c>
      <c r="M7">
        <f t="shared" si="6"/>
        <v>3.1615554852987667E-4</v>
      </c>
    </row>
    <row r="8" spans="1:13" x14ac:dyDescent="0.25">
      <c r="A8">
        <v>7</v>
      </c>
      <c r="B8">
        <v>25</v>
      </c>
      <c r="C8">
        <v>65</v>
      </c>
      <c r="D8">
        <f t="shared" si="2"/>
        <v>1.0833333333333333</v>
      </c>
      <c r="G8">
        <v>7</v>
      </c>
      <c r="H8">
        <f t="shared" si="3"/>
        <v>0.42857142857142855</v>
      </c>
      <c r="I8">
        <f t="shared" si="4"/>
        <v>1.125</v>
      </c>
      <c r="J8">
        <f t="shared" si="5"/>
        <v>9.5238095238095233E-2</v>
      </c>
      <c r="K8">
        <f t="shared" si="0"/>
        <v>0.72362968395511906</v>
      </c>
      <c r="L8">
        <f t="shared" si="1"/>
        <v>7.3880527827310008E-5</v>
      </c>
      <c r="M8">
        <f t="shared" si="6"/>
        <v>1.7238789826372336E-4</v>
      </c>
    </row>
    <row r="9" spans="1:13" x14ac:dyDescent="0.25">
      <c r="A9">
        <v>8</v>
      </c>
      <c r="B9">
        <v>5</v>
      </c>
      <c r="C9">
        <v>60</v>
      </c>
      <c r="D9">
        <f t="shared" si="2"/>
        <v>1</v>
      </c>
      <c r="G9">
        <v>8</v>
      </c>
      <c r="H9">
        <f t="shared" si="3"/>
        <v>0.375</v>
      </c>
      <c r="I9">
        <f t="shared" si="4"/>
        <v>1.125</v>
      </c>
      <c r="J9">
        <f t="shared" si="5"/>
        <v>8.3333333333333329E-2</v>
      </c>
      <c r="K9">
        <f t="shared" si="0"/>
        <v>0.7496844762305428</v>
      </c>
      <c r="L9">
        <f t="shared" si="1"/>
        <v>3.8245305388763537E-5</v>
      </c>
      <c r="M9">
        <f t="shared" si="6"/>
        <v>1.0198748103670276E-4</v>
      </c>
    </row>
    <row r="10" spans="1:13" x14ac:dyDescent="0.25">
      <c r="A10">
        <v>9</v>
      </c>
      <c r="B10">
        <v>15</v>
      </c>
      <c r="C10">
        <v>60</v>
      </c>
      <c r="D10">
        <f t="shared" si="2"/>
        <v>1</v>
      </c>
      <c r="G10">
        <v>9</v>
      </c>
      <c r="H10">
        <f t="shared" si="3"/>
        <v>0.33333333333333331</v>
      </c>
      <c r="I10">
        <f t="shared" si="4"/>
        <v>1.125</v>
      </c>
      <c r="J10">
        <f t="shared" si="5"/>
        <v>7.407407407407407E-2</v>
      </c>
      <c r="K10">
        <f t="shared" si="0"/>
        <v>0.77122222704017529</v>
      </c>
      <c r="L10">
        <f t="shared" si="1"/>
        <v>2.1398677315155592E-5</v>
      </c>
      <c r="M10">
        <f t="shared" si="6"/>
        <v>6.4196031945466786E-5</v>
      </c>
    </row>
    <row r="11" spans="1:13" x14ac:dyDescent="0.25">
      <c r="A11">
        <v>10</v>
      </c>
      <c r="B11">
        <v>15</v>
      </c>
      <c r="C11">
        <v>70</v>
      </c>
      <c r="D11">
        <f t="shared" si="2"/>
        <v>1.1666666666666667</v>
      </c>
      <c r="G11">
        <v>10</v>
      </c>
      <c r="H11">
        <f t="shared" si="3"/>
        <v>0.5</v>
      </c>
      <c r="I11">
        <f t="shared" si="4"/>
        <v>1.1320754716981132</v>
      </c>
      <c r="J11">
        <f t="shared" si="5"/>
        <v>0.11041666666666666</v>
      </c>
      <c r="K11">
        <f t="shared" si="0"/>
        <v>0.69278514422013715</v>
      </c>
      <c r="L11">
        <f t="shared" si="1"/>
        <v>1.5325941931230912E-4</v>
      </c>
      <c r="M11">
        <f t="shared" si="6"/>
        <v>3.0651883862461824E-4</v>
      </c>
    </row>
    <row r="12" spans="1:13" x14ac:dyDescent="0.25">
      <c r="A12">
        <v>11</v>
      </c>
      <c r="B12">
        <v>10</v>
      </c>
      <c r="C12">
        <v>65</v>
      </c>
      <c r="D12">
        <f t="shared" si="2"/>
        <v>1.0833333333333333</v>
      </c>
      <c r="G12">
        <v>11</v>
      </c>
      <c r="H12">
        <f t="shared" si="3"/>
        <v>0.45454545454545453</v>
      </c>
      <c r="I12">
        <f t="shared" si="4"/>
        <v>1.1320754716981132</v>
      </c>
      <c r="J12">
        <f t="shared" si="5"/>
        <v>0.10037878787878787</v>
      </c>
      <c r="K12">
        <f t="shared" si="0"/>
        <v>0.71290120770680565</v>
      </c>
      <c r="L12">
        <f t="shared" si="1"/>
        <v>9.5752128146271359E-5</v>
      </c>
      <c r="M12">
        <f t="shared" si="6"/>
        <v>2.10654681921797E-4</v>
      </c>
    </row>
    <row r="13" spans="1:13" x14ac:dyDescent="0.25">
      <c r="A13">
        <v>12</v>
      </c>
      <c r="B13">
        <v>30</v>
      </c>
      <c r="C13">
        <v>70</v>
      </c>
      <c r="D13">
        <f t="shared" si="2"/>
        <v>1.1666666666666667</v>
      </c>
      <c r="G13">
        <v>12</v>
      </c>
      <c r="H13">
        <f t="shared" si="3"/>
        <v>0.41666666666666669</v>
      </c>
      <c r="I13">
        <f t="shared" si="4"/>
        <v>1.1320754716981132</v>
      </c>
      <c r="J13">
        <f t="shared" si="5"/>
        <v>9.2013888888888895E-2</v>
      </c>
      <c r="K13">
        <f t="shared" si="0"/>
        <v>0.73051480276690106</v>
      </c>
      <c r="L13">
        <f t="shared" si="1"/>
        <v>6.2339923395819918E-5</v>
      </c>
      <c r="M13">
        <f t="shared" si="6"/>
        <v>1.4961581614996781E-4</v>
      </c>
    </row>
    <row r="14" spans="1:13" x14ac:dyDescent="0.25">
      <c r="A14">
        <v>13</v>
      </c>
      <c r="B14">
        <v>40</v>
      </c>
      <c r="C14">
        <v>65</v>
      </c>
      <c r="D14">
        <f t="shared" si="2"/>
        <v>1.0833333333333333</v>
      </c>
      <c r="G14">
        <v>13</v>
      </c>
      <c r="H14">
        <f t="shared" si="3"/>
        <v>0.38461538461538464</v>
      </c>
      <c r="I14">
        <f t="shared" si="4"/>
        <v>1.1320754716981132</v>
      </c>
      <c r="J14">
        <f t="shared" si="5"/>
        <v>8.4935897435897439E-2</v>
      </c>
      <c r="K14">
        <f t="shared" si="0"/>
        <v>0.74607365004439175</v>
      </c>
      <c r="L14">
        <f t="shared" si="1"/>
        <v>4.2011074344055741E-5</v>
      </c>
      <c r="M14">
        <f t="shared" si="6"/>
        <v>1.0922879329454491E-4</v>
      </c>
    </row>
    <row r="15" spans="1:13" x14ac:dyDescent="0.25">
      <c r="A15">
        <v>14</v>
      </c>
      <c r="B15">
        <v>40</v>
      </c>
      <c r="C15">
        <v>75</v>
      </c>
      <c r="D15">
        <f t="shared" si="2"/>
        <v>1.25</v>
      </c>
      <c r="G15">
        <v>14</v>
      </c>
      <c r="H15">
        <f t="shared" si="3"/>
        <v>0.35714285714285715</v>
      </c>
      <c r="I15">
        <f t="shared" si="4"/>
        <v>1.1320754716981132</v>
      </c>
      <c r="J15">
        <f t="shared" si="5"/>
        <v>7.8869047619047616E-2</v>
      </c>
      <c r="K15">
        <f t="shared" si="0"/>
        <v>0.75992216235218246</v>
      </c>
      <c r="L15">
        <f t="shared" si="1"/>
        <v>2.9153323033366349E-5</v>
      </c>
      <c r="M15">
        <f t="shared" si="6"/>
        <v>8.1629304493425781E-5</v>
      </c>
    </row>
    <row r="16" spans="1:13" x14ac:dyDescent="0.25">
      <c r="A16">
        <v>15</v>
      </c>
      <c r="B16">
        <v>40</v>
      </c>
      <c r="C16">
        <v>60</v>
      </c>
      <c r="D16">
        <f t="shared" si="2"/>
        <v>1</v>
      </c>
      <c r="G16">
        <v>15</v>
      </c>
      <c r="H16">
        <f t="shared" si="3"/>
        <v>0.46666666666666667</v>
      </c>
      <c r="I16">
        <f t="shared" si="4"/>
        <v>1.0632911392405064</v>
      </c>
      <c r="J16">
        <f t="shared" si="5"/>
        <v>0.10972222222222221</v>
      </c>
      <c r="K16">
        <f t="shared" si="0"/>
        <v>0.69414296658128549</v>
      </c>
      <c r="L16">
        <f t="shared" si="1"/>
        <v>1.4855920246419123E-4</v>
      </c>
      <c r="M16">
        <f t="shared" si="6"/>
        <v>3.1834114813755261E-4</v>
      </c>
    </row>
    <row r="17" spans="1:13" x14ac:dyDescent="0.25">
      <c r="A17">
        <v>16</v>
      </c>
      <c r="B17">
        <v>50</v>
      </c>
      <c r="C17">
        <v>50</v>
      </c>
      <c r="D17">
        <f t="shared" si="2"/>
        <v>0.83333333333333337</v>
      </c>
      <c r="G17">
        <v>16</v>
      </c>
      <c r="H17">
        <f t="shared" si="3"/>
        <v>0.4375</v>
      </c>
      <c r="I17">
        <f t="shared" si="4"/>
        <v>1.0632911392405064</v>
      </c>
      <c r="J17">
        <f t="shared" si="5"/>
        <v>0.10286458333333333</v>
      </c>
      <c r="K17">
        <f t="shared" si="0"/>
        <v>0.70781952736341691</v>
      </c>
      <c r="L17">
        <f t="shared" si="1"/>
        <v>1.0803503474696975E-4</v>
      </c>
      <c r="M17">
        <f t="shared" si="6"/>
        <v>2.4693722227878801E-4</v>
      </c>
    </row>
    <row r="18" spans="1:13" x14ac:dyDescent="0.25">
      <c r="A18">
        <v>17</v>
      </c>
      <c r="B18">
        <v>50</v>
      </c>
      <c r="C18">
        <v>65</v>
      </c>
      <c r="D18">
        <f t="shared" si="2"/>
        <v>1.0833333333333333</v>
      </c>
      <c r="G18">
        <v>17</v>
      </c>
      <c r="H18">
        <f t="shared" si="3"/>
        <v>0.41176470588235292</v>
      </c>
      <c r="I18">
        <f t="shared" si="4"/>
        <v>1.0632911392405064</v>
      </c>
      <c r="J18">
        <f t="shared" si="5"/>
        <v>9.6813725490196068E-2</v>
      </c>
      <c r="K18">
        <f t="shared" si="0"/>
        <v>0.72030933802258112</v>
      </c>
      <c r="L18">
        <f t="shared" si="1"/>
        <v>8.010834749484491E-5</v>
      </c>
      <c r="M18">
        <f t="shared" si="6"/>
        <v>1.9454884391605193E-4</v>
      </c>
    </row>
    <row r="19" spans="1:13" x14ac:dyDescent="0.25">
      <c r="A19">
        <v>18</v>
      </c>
      <c r="B19">
        <v>55</v>
      </c>
      <c r="C19">
        <v>65</v>
      </c>
      <c r="D19">
        <f t="shared" si="2"/>
        <v>1.0833333333333333</v>
      </c>
      <c r="G19">
        <v>18</v>
      </c>
      <c r="H19">
        <f t="shared" si="3"/>
        <v>0.3888888888888889</v>
      </c>
      <c r="I19">
        <f t="shared" si="4"/>
        <v>1.0632911392405064</v>
      </c>
      <c r="J19">
        <f t="shared" si="5"/>
        <v>9.1435185185185175E-2</v>
      </c>
      <c r="K19">
        <f t="shared" si="0"/>
        <v>0.73176371782709926</v>
      </c>
      <c r="L19">
        <f t="shared" si="1"/>
        <v>6.0430266804971592E-5</v>
      </c>
      <c r="M19">
        <f t="shared" si="6"/>
        <v>1.5539211464135551E-4</v>
      </c>
    </row>
    <row r="20" spans="1:13" x14ac:dyDescent="0.25">
      <c r="A20">
        <v>19</v>
      </c>
      <c r="B20">
        <v>45</v>
      </c>
      <c r="C20">
        <v>65</v>
      </c>
      <c r="D20">
        <f t="shared" si="2"/>
        <v>1.0833333333333333</v>
      </c>
      <c r="G20">
        <v>19</v>
      </c>
      <c r="H20">
        <f t="shared" si="3"/>
        <v>0.36842105263157893</v>
      </c>
      <c r="I20">
        <f t="shared" si="4"/>
        <v>1.0632911392405064</v>
      </c>
      <c r="J20">
        <f t="shared" si="5"/>
        <v>8.6622807017543851E-2</v>
      </c>
      <c r="K20">
        <f t="shared" si="0"/>
        <v>0.74230852606319386</v>
      </c>
      <c r="L20">
        <f t="shared" si="1"/>
        <v>4.6288606965711241E-5</v>
      </c>
      <c r="M20">
        <f t="shared" si="6"/>
        <v>1.2564050462121623E-4</v>
      </c>
    </row>
    <row r="21" spans="1:13" x14ac:dyDescent="0.25">
      <c r="A21">
        <v>20</v>
      </c>
      <c r="B21">
        <v>55</v>
      </c>
      <c r="C21">
        <v>75</v>
      </c>
      <c r="D21">
        <f t="shared" si="2"/>
        <v>1.25</v>
      </c>
      <c r="G21">
        <v>20</v>
      </c>
      <c r="H21">
        <f t="shared" si="3"/>
        <v>0.35</v>
      </c>
      <c r="I21">
        <f t="shared" si="4"/>
        <v>1.0632911392405064</v>
      </c>
      <c r="J21">
        <f t="shared" si="5"/>
        <v>8.2291666666666652E-2</v>
      </c>
      <c r="K21">
        <f t="shared" si="0"/>
        <v>0.75204950889074307</v>
      </c>
      <c r="L21">
        <f t="shared" si="1"/>
        <v>3.5945546937121111E-5</v>
      </c>
      <c r="M21">
        <f t="shared" si="6"/>
        <v>1.0270156267748889E-4</v>
      </c>
    </row>
    <row r="22" spans="1:13" x14ac:dyDescent="0.25">
      <c r="A22">
        <v>21</v>
      </c>
      <c r="B22">
        <v>55</v>
      </c>
      <c r="C22">
        <v>70</v>
      </c>
      <c r="D22">
        <f t="shared" si="2"/>
        <v>1.1666666666666667</v>
      </c>
      <c r="G22">
        <v>21</v>
      </c>
      <c r="H22">
        <f t="shared" si="3"/>
        <v>0.33333333333333331</v>
      </c>
      <c r="I22">
        <f t="shared" si="4"/>
        <v>1.0632911392405064</v>
      </c>
      <c r="J22">
        <f t="shared" si="5"/>
        <v>7.8373015873015858E-2</v>
      </c>
      <c r="K22">
        <f t="shared" si="0"/>
        <v>0.76107629348534489</v>
      </c>
      <c r="L22">
        <f t="shared" si="1"/>
        <v>2.8260468039181234E-5</v>
      </c>
      <c r="M22">
        <f t="shared" si="6"/>
        <v>8.4781404117543709E-5</v>
      </c>
    </row>
    <row r="23" spans="1:13" x14ac:dyDescent="0.25">
      <c r="A23">
        <v>22</v>
      </c>
      <c r="B23">
        <v>50</v>
      </c>
      <c r="C23">
        <v>60</v>
      </c>
      <c r="D23">
        <f t="shared" si="2"/>
        <v>1</v>
      </c>
      <c r="G23">
        <v>22</v>
      </c>
      <c r="H23">
        <f t="shared" si="3"/>
        <v>0.31818181818181818</v>
      </c>
      <c r="I23">
        <f t="shared" si="4"/>
        <v>1.0632911392405064</v>
      </c>
      <c r="J23">
        <f t="shared" si="5"/>
        <v>7.481060606060605E-2</v>
      </c>
      <c r="K23">
        <f t="shared" si="0"/>
        <v>0.76946543037970017</v>
      </c>
      <c r="L23">
        <f t="shared" si="1"/>
        <v>2.2468413670728971E-5</v>
      </c>
      <c r="M23">
        <f t="shared" si="6"/>
        <v>7.0615014393719629E-5</v>
      </c>
    </row>
    <row r="24" spans="1:13" x14ac:dyDescent="0.25">
      <c r="A24">
        <v>23</v>
      </c>
      <c r="B24">
        <v>45</v>
      </c>
      <c r="C24">
        <v>65</v>
      </c>
      <c r="D24">
        <f t="shared" si="2"/>
        <v>1.0833333333333333</v>
      </c>
      <c r="G24">
        <v>23</v>
      </c>
      <c r="H24">
        <f t="shared" si="3"/>
        <v>0.30434782608695654</v>
      </c>
      <c r="I24">
        <f t="shared" si="4"/>
        <v>1.0632911392405064</v>
      </c>
      <c r="J24">
        <f t="shared" si="5"/>
        <v>7.1557971014492752E-2</v>
      </c>
      <c r="K24">
        <f t="shared" si="0"/>
        <v>0.77728274917898876</v>
      </c>
      <c r="L24">
        <f t="shared" si="1"/>
        <v>1.804630355342207E-5</v>
      </c>
      <c r="M24">
        <f t="shared" si="6"/>
        <v>5.929499738981537E-5</v>
      </c>
    </row>
    <row r="25" spans="1:13" x14ac:dyDescent="0.25">
      <c r="A25">
        <v>24</v>
      </c>
      <c r="B25">
        <v>45</v>
      </c>
      <c r="C25">
        <v>62</v>
      </c>
      <c r="D25">
        <f t="shared" si="2"/>
        <v>1.0333333333333334</v>
      </c>
      <c r="G25">
        <v>24</v>
      </c>
      <c r="H25">
        <f t="shared" si="3"/>
        <v>0.29166666666666669</v>
      </c>
      <c r="I25">
        <f t="shared" si="4"/>
        <v>1.0632911392405064</v>
      </c>
      <c r="J25">
        <f t="shared" si="5"/>
        <v>6.8576388888888881E-2</v>
      </c>
      <c r="K25">
        <f t="shared" si="0"/>
        <v>0.78458520838560541</v>
      </c>
      <c r="L25">
        <f t="shared" si="1"/>
        <v>1.4630104057100138E-5</v>
      </c>
      <c r="M25">
        <f t="shared" si="6"/>
        <v>5.0160356767200466E-5</v>
      </c>
    </row>
    <row r="26" spans="1:13" x14ac:dyDescent="0.25">
      <c r="A26">
        <v>25</v>
      </c>
      <c r="B26">
        <v>50</v>
      </c>
      <c r="C26">
        <v>60</v>
      </c>
      <c r="D26">
        <f t="shared" si="2"/>
        <v>1</v>
      </c>
      <c r="G26">
        <v>25</v>
      </c>
      <c r="H26">
        <f t="shared" si="3"/>
        <v>0.4</v>
      </c>
      <c r="I26">
        <f t="shared" si="4"/>
        <v>1.0169491525423728</v>
      </c>
      <c r="J26">
        <f t="shared" si="5"/>
        <v>9.8333333333333342E-2</v>
      </c>
      <c r="K26">
        <f t="shared" si="0"/>
        <v>0.71713406252943124</v>
      </c>
      <c r="L26">
        <f t="shared" si="1"/>
        <v>8.6504928522293501E-5</v>
      </c>
      <c r="M26">
        <f t="shared" si="6"/>
        <v>2.1626232130573375E-4</v>
      </c>
    </row>
    <row r="27" spans="1:13" x14ac:dyDescent="0.25">
      <c r="A27">
        <v>26</v>
      </c>
      <c r="B27">
        <v>10</v>
      </c>
      <c r="C27">
        <v>40</v>
      </c>
      <c r="D27">
        <f t="shared" si="2"/>
        <v>0.66666666666666663</v>
      </c>
      <c r="G27">
        <v>26</v>
      </c>
      <c r="H27">
        <f t="shared" si="3"/>
        <v>0.38461538461538464</v>
      </c>
      <c r="I27">
        <f t="shared" si="4"/>
        <v>1.0169491525423728</v>
      </c>
      <c r="J27">
        <f t="shared" si="5"/>
        <v>9.4551282051282062E-2</v>
      </c>
      <c r="K27">
        <f t="shared" si="0"/>
        <v>0.72508604754706263</v>
      </c>
      <c r="L27">
        <f t="shared" si="1"/>
        <v>7.128984417416582E-5</v>
      </c>
      <c r="M27">
        <f t="shared" si="6"/>
        <v>1.8535359485283114E-4</v>
      </c>
    </row>
    <row r="28" spans="1:13" x14ac:dyDescent="0.25">
      <c r="A28">
        <v>27</v>
      </c>
      <c r="B28">
        <v>25</v>
      </c>
      <c r="C28">
        <v>55</v>
      </c>
      <c r="D28">
        <f t="shared" si="2"/>
        <v>0.91666666666666663</v>
      </c>
      <c r="G28">
        <v>27</v>
      </c>
      <c r="H28">
        <f t="shared" si="3"/>
        <v>0.37037037037037035</v>
      </c>
      <c r="I28">
        <f t="shared" si="4"/>
        <v>1.0169491525423728</v>
      </c>
      <c r="J28">
        <f t="shared" si="5"/>
        <v>9.1049382716049385E-2</v>
      </c>
      <c r="K28">
        <f t="shared" si="0"/>
        <v>0.73259857711439869</v>
      </c>
      <c r="L28">
        <f t="shared" si="1"/>
        <v>5.9183309284984165E-5</v>
      </c>
      <c r="M28">
        <f t="shared" si="6"/>
        <v>1.5979493506945724E-4</v>
      </c>
    </row>
    <row r="29" spans="1:13" x14ac:dyDescent="0.25">
      <c r="A29">
        <v>28</v>
      </c>
      <c r="B29">
        <v>25</v>
      </c>
      <c r="C29">
        <v>75</v>
      </c>
      <c r="D29">
        <f t="shared" si="2"/>
        <v>1.25</v>
      </c>
      <c r="G29">
        <v>28</v>
      </c>
      <c r="H29">
        <f t="shared" si="3"/>
        <v>0.35714285714285715</v>
      </c>
      <c r="I29">
        <f t="shared" si="4"/>
        <v>1.0169491525423728</v>
      </c>
      <c r="J29">
        <f t="shared" si="5"/>
        <v>8.7797619047619055E-2</v>
      </c>
      <c r="K29">
        <f t="shared" si="0"/>
        <v>0.7397077306452704</v>
      </c>
      <c r="L29">
        <f t="shared" si="1"/>
        <v>4.9467523769638059E-5</v>
      </c>
      <c r="M29">
        <f t="shared" si="6"/>
        <v>1.3850906655498655E-4</v>
      </c>
    </row>
    <row r="30" spans="1:13" x14ac:dyDescent="0.25">
      <c r="A30">
        <v>29</v>
      </c>
      <c r="B30">
        <v>55</v>
      </c>
      <c r="C30">
        <v>60</v>
      </c>
      <c r="D30">
        <f t="shared" si="2"/>
        <v>1</v>
      </c>
      <c r="G30">
        <v>29</v>
      </c>
      <c r="H30">
        <f t="shared" si="3"/>
        <v>0.34482758620689657</v>
      </c>
      <c r="I30">
        <f t="shared" si="4"/>
        <v>1.0169491525423728</v>
      </c>
      <c r="J30">
        <f t="shared" si="5"/>
        <v>8.4770114942528743E-2</v>
      </c>
      <c r="K30">
        <f t="shared" si="0"/>
        <v>0.74644564013020875</v>
      </c>
      <c r="L30">
        <f t="shared" si="1"/>
        <v>4.1608339468588221E-5</v>
      </c>
      <c r="M30">
        <f t="shared" si="6"/>
        <v>1.2066418445890583E-4</v>
      </c>
    </row>
    <row r="31" spans="1:13" x14ac:dyDescent="0.25">
      <c r="A31">
        <v>30</v>
      </c>
      <c r="B31">
        <v>55</v>
      </c>
      <c r="C31">
        <v>40</v>
      </c>
      <c r="D31">
        <f t="shared" si="2"/>
        <v>0.66666666666666663</v>
      </c>
      <c r="G31">
        <v>30</v>
      </c>
      <c r="H31">
        <f t="shared" si="3"/>
        <v>0.43333333333333335</v>
      </c>
      <c r="I31">
        <f t="shared" si="4"/>
        <v>1.0064516129032259</v>
      </c>
      <c r="J31">
        <f t="shared" si="5"/>
        <v>0.10763888888888888</v>
      </c>
      <c r="K31">
        <f t="shared" si="0"/>
        <v>0.69824593357063647</v>
      </c>
      <c r="L31">
        <f t="shared" si="1"/>
        <v>1.3514559603100069E-4</v>
      </c>
      <c r="M31">
        <f t="shared" si="6"/>
        <v>3.1187445237923234E-4</v>
      </c>
    </row>
    <row r="32" spans="1:13" x14ac:dyDescent="0.25">
      <c r="A32">
        <v>31</v>
      </c>
      <c r="B32">
        <v>40</v>
      </c>
      <c r="C32">
        <v>70</v>
      </c>
      <c r="D32">
        <f t="shared" si="2"/>
        <v>1.1666666666666667</v>
      </c>
      <c r="G32">
        <v>31</v>
      </c>
      <c r="H32">
        <f t="shared" si="3"/>
        <v>0.41935483870967744</v>
      </c>
      <c r="I32">
        <f t="shared" si="4"/>
        <v>1.0064516129032259</v>
      </c>
      <c r="J32">
        <f t="shared" si="5"/>
        <v>0.10416666666666666</v>
      </c>
      <c r="K32">
        <f t="shared" si="0"/>
        <v>0.7051845196762464</v>
      </c>
      <c r="L32">
        <f t="shared" si="1"/>
        <v>1.1495315410671333E-4</v>
      </c>
      <c r="M32">
        <f t="shared" si="6"/>
        <v>2.741190597929318E-4</v>
      </c>
    </row>
    <row r="33" spans="1:13" x14ac:dyDescent="0.25">
      <c r="A33">
        <v>32</v>
      </c>
      <c r="B33">
        <v>50</v>
      </c>
      <c r="C33">
        <v>60</v>
      </c>
      <c r="D33">
        <f t="shared" si="2"/>
        <v>1</v>
      </c>
      <c r="G33">
        <v>32</v>
      </c>
      <c r="H33">
        <f t="shared" si="3"/>
        <v>0.40625</v>
      </c>
      <c r="I33">
        <f t="shared" si="4"/>
        <v>1.0064516129032259</v>
      </c>
      <c r="J33">
        <f t="shared" si="5"/>
        <v>0.10091145833333331</v>
      </c>
      <c r="K33">
        <f t="shared" si="0"/>
        <v>0.71180655882353394</v>
      </c>
      <c r="L33">
        <f t="shared" si="1"/>
        <v>9.8285215815575451E-5</v>
      </c>
      <c r="M33">
        <f t="shared" si="6"/>
        <v>2.4193283893064727E-4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2026-03-30T21:11:42Z</dcterms:modified>
</cp:coreProperties>
</file>